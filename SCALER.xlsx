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2.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3.xml" ContentType="application/vnd.openxmlformats-officedocument.drawing+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4.xml" ContentType="application/vnd.openxmlformats-officedocument.drawing+xml"/>
  <Override PartName="/xl/slicers/slicer2.xml" ContentType="application/vnd.ms-excel.slicer+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13_ncr:1_{59313092-93A3-4280-AD24-DB646E2290F9}" xr6:coauthVersionLast="47" xr6:coauthVersionMax="47" xr10:uidLastSave="{00000000-0000-0000-0000-000000000000}"/>
  <bookViews>
    <workbookView xWindow="-108" yWindow="-108" windowWidth="23256" windowHeight="12576" activeTab="9" xr2:uid="{836B2431-075C-4AF1-B2D6-4E6E0E68C938}"/>
  </bookViews>
  <sheets>
    <sheet name="BASE" sheetId="1" r:id="rId1"/>
    <sheet name="Sheet4" sheetId="4" state="hidden" r:id="rId2"/>
    <sheet name="DATA_VAL_FORMULA" sheetId="7" state="hidden" r:id="rId3"/>
    <sheet name="DATA_VALIDATION " sheetId="8" state="hidden" r:id="rId4"/>
    <sheet name="TASK_1" sheetId="9" r:id="rId5"/>
    <sheet name="TASK_2.1" sheetId="10" r:id="rId6"/>
    <sheet name="TASK_2.2" sheetId="13" r:id="rId7"/>
    <sheet name="TASK_3.1" sheetId="14" r:id="rId8"/>
    <sheet name="Sheet14" sheetId="15" state="hidden" r:id="rId9"/>
    <sheet name="TASK_3.2AND3.3" sheetId="16" r:id="rId10"/>
  </sheets>
  <definedNames>
    <definedName name="_xlnm._FilterDatabase" localSheetId="0" hidden="1">BASE!$A$1:$BF$226</definedName>
    <definedName name="_xlnm._FilterDatabase" localSheetId="2" hidden="1">DATA_VAL_FORMULA!$A$1:$F$226</definedName>
    <definedName name="Slicer_Assigned_To">#N/A</definedName>
    <definedName name="Slicer_Assigned_To1">#N/A</definedName>
    <definedName name="Slicer_Assigned_To2">#N/A</definedName>
    <definedName name="Slicer_Disposition_Folder_Level_2">#N/A</definedName>
    <definedName name="Slicer_Disposition_Folder_Level_21">#N/A</definedName>
    <definedName name="Slicer_Issue_2___NPS">#N/A</definedName>
    <definedName name="Slicer_Issue_2___NPS1">#N/A</definedName>
    <definedName name="Slicer_Issue_2___NPS2">#N/A</definedName>
    <definedName name="Slicer_MONTH">#N/A</definedName>
    <definedName name="Slicer_MONTH1">#N/A</definedName>
    <definedName name="Slicer_MONTH2">#N/A</definedName>
    <definedName name="Slicer_MONTH3">#N/A</definedName>
    <definedName name="Slicer_MONTH4">#N/A</definedName>
    <definedName name="Slicer_Program_Name">#N/A</definedName>
    <definedName name="Slicer_Status">#N/A</definedName>
    <definedName name="Slicer_WEEK">#N/A</definedName>
    <definedName name="Slicer_WEEK1">#N/A</definedName>
    <definedName name="Slicer_WEEK2">#N/A</definedName>
    <definedName name="Slicer_WEEK3">#N/A</definedName>
    <definedName name="Slicer_WEEK4">#N/A</definedName>
  </definedNames>
  <calcPr calcId="191029"/>
  <pivotCaches>
    <pivotCache cacheId="1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T3" i="1" l="1"/>
  <c r="AU3" i="1" s="1"/>
  <c r="AT4" i="1"/>
  <c r="AU4" i="1" s="1"/>
  <c r="AT5" i="1"/>
  <c r="AU5" i="1" s="1"/>
  <c r="AT6" i="1"/>
  <c r="AU6" i="1" s="1"/>
  <c r="AT7" i="1"/>
  <c r="AU7" i="1" s="1"/>
  <c r="AT8" i="1"/>
  <c r="AU8" i="1" s="1"/>
  <c r="AT9" i="1"/>
  <c r="AU9" i="1" s="1"/>
  <c r="AT10" i="1"/>
  <c r="AU10" i="1" s="1"/>
  <c r="AT11" i="1"/>
  <c r="AU11" i="1" s="1"/>
  <c r="AT12" i="1"/>
  <c r="AU12" i="1" s="1"/>
  <c r="AT13" i="1"/>
  <c r="AU13" i="1" s="1"/>
  <c r="AT14" i="1"/>
  <c r="AU14" i="1" s="1"/>
  <c r="AT15" i="1"/>
  <c r="AU15" i="1" s="1"/>
  <c r="AT16" i="1"/>
  <c r="AU16" i="1" s="1"/>
  <c r="AT17" i="1"/>
  <c r="AU17" i="1" s="1"/>
  <c r="AT18" i="1"/>
  <c r="AU18" i="1" s="1"/>
  <c r="AT19" i="1"/>
  <c r="AU19" i="1" s="1"/>
  <c r="AT20" i="1"/>
  <c r="AU20" i="1" s="1"/>
  <c r="AT21" i="1"/>
  <c r="AU21" i="1" s="1"/>
  <c r="AT22" i="1"/>
  <c r="AU22" i="1" s="1"/>
  <c r="AT23" i="1"/>
  <c r="AU23" i="1" s="1"/>
  <c r="AT24" i="1"/>
  <c r="AU24" i="1" s="1"/>
  <c r="AT25" i="1"/>
  <c r="AU25" i="1" s="1"/>
  <c r="AT26" i="1"/>
  <c r="AU26" i="1" s="1"/>
  <c r="AT27" i="1"/>
  <c r="AU27" i="1" s="1"/>
  <c r="AT28" i="1"/>
  <c r="AU28" i="1" s="1"/>
  <c r="AT29" i="1"/>
  <c r="AU29" i="1" s="1"/>
  <c r="AT30" i="1"/>
  <c r="AU30" i="1" s="1"/>
  <c r="AT31" i="1"/>
  <c r="AU31" i="1" s="1"/>
  <c r="AT32" i="1"/>
  <c r="AU32" i="1" s="1"/>
  <c r="AT33" i="1"/>
  <c r="AU33" i="1" s="1"/>
  <c r="AT34" i="1"/>
  <c r="AU34" i="1" s="1"/>
  <c r="AT35" i="1"/>
  <c r="AU35" i="1" s="1"/>
  <c r="AT36" i="1"/>
  <c r="AU36" i="1" s="1"/>
  <c r="AT37" i="1"/>
  <c r="AU37" i="1" s="1"/>
  <c r="AT38" i="1"/>
  <c r="AU38" i="1" s="1"/>
  <c r="AT39" i="1"/>
  <c r="AU39" i="1" s="1"/>
  <c r="AT40" i="1"/>
  <c r="AU40" i="1" s="1"/>
  <c r="AT41" i="1"/>
  <c r="AU41" i="1" s="1"/>
  <c r="AT42" i="1"/>
  <c r="AU42" i="1" s="1"/>
  <c r="AT43" i="1"/>
  <c r="AU43" i="1" s="1"/>
  <c r="AT44" i="1"/>
  <c r="AU44" i="1" s="1"/>
  <c r="AT45" i="1"/>
  <c r="AU45" i="1" s="1"/>
  <c r="AT46" i="1"/>
  <c r="AU46" i="1" s="1"/>
  <c r="AT47" i="1"/>
  <c r="AU47" i="1" s="1"/>
  <c r="AT48" i="1"/>
  <c r="AU48" i="1" s="1"/>
  <c r="AT49" i="1"/>
  <c r="AU49" i="1" s="1"/>
  <c r="AT50" i="1"/>
  <c r="AU50" i="1" s="1"/>
  <c r="AT51" i="1"/>
  <c r="AU51" i="1" s="1"/>
  <c r="AT52" i="1"/>
  <c r="AU52" i="1" s="1"/>
  <c r="AT53" i="1"/>
  <c r="AU53" i="1" s="1"/>
  <c r="AT54" i="1"/>
  <c r="AU54" i="1" s="1"/>
  <c r="AT55" i="1"/>
  <c r="AU55" i="1" s="1"/>
  <c r="AT56" i="1"/>
  <c r="AU56" i="1" s="1"/>
  <c r="AT57" i="1"/>
  <c r="AU57" i="1" s="1"/>
  <c r="AT58" i="1"/>
  <c r="AU58" i="1" s="1"/>
  <c r="AT59" i="1"/>
  <c r="AU59" i="1" s="1"/>
  <c r="AT60" i="1"/>
  <c r="AU60" i="1" s="1"/>
  <c r="AT61" i="1"/>
  <c r="AU61" i="1" s="1"/>
  <c r="AT62" i="1"/>
  <c r="AU62" i="1" s="1"/>
  <c r="AT63" i="1"/>
  <c r="AU63" i="1" s="1"/>
  <c r="AT64" i="1"/>
  <c r="AU64" i="1" s="1"/>
  <c r="AT65" i="1"/>
  <c r="AU65" i="1" s="1"/>
  <c r="AT66" i="1"/>
  <c r="AU66" i="1" s="1"/>
  <c r="AT67" i="1"/>
  <c r="AU67" i="1" s="1"/>
  <c r="AT68" i="1"/>
  <c r="AU68" i="1" s="1"/>
  <c r="AT69" i="1"/>
  <c r="AU69" i="1" s="1"/>
  <c r="AT70" i="1"/>
  <c r="AU70" i="1" s="1"/>
  <c r="AT71" i="1"/>
  <c r="AU71" i="1" s="1"/>
  <c r="AT72" i="1"/>
  <c r="AU72" i="1" s="1"/>
  <c r="AT73" i="1"/>
  <c r="AU73" i="1" s="1"/>
  <c r="AT74" i="1"/>
  <c r="AU74" i="1" s="1"/>
  <c r="AT75" i="1"/>
  <c r="AU75" i="1" s="1"/>
  <c r="AT76" i="1"/>
  <c r="AU76" i="1" s="1"/>
  <c r="AT77" i="1"/>
  <c r="AU77" i="1" s="1"/>
  <c r="AT78" i="1"/>
  <c r="AU78" i="1" s="1"/>
  <c r="AT79" i="1"/>
  <c r="AU79" i="1" s="1"/>
  <c r="AT80" i="1"/>
  <c r="AU80" i="1" s="1"/>
  <c r="AT81" i="1"/>
  <c r="AU81" i="1" s="1"/>
  <c r="AT82" i="1"/>
  <c r="AU82" i="1" s="1"/>
  <c r="AT83" i="1"/>
  <c r="AU83" i="1" s="1"/>
  <c r="AT84" i="1"/>
  <c r="AU84" i="1" s="1"/>
  <c r="AT85" i="1"/>
  <c r="AU85" i="1" s="1"/>
  <c r="AT86" i="1"/>
  <c r="AU86" i="1" s="1"/>
  <c r="AT87" i="1"/>
  <c r="AU87" i="1" s="1"/>
  <c r="AT88" i="1"/>
  <c r="AU88" i="1" s="1"/>
  <c r="AT89" i="1"/>
  <c r="AU89" i="1" s="1"/>
  <c r="AT90" i="1"/>
  <c r="AU90" i="1" s="1"/>
  <c r="AT91" i="1"/>
  <c r="AU91" i="1" s="1"/>
  <c r="AT92" i="1"/>
  <c r="AU92" i="1" s="1"/>
  <c r="AT93" i="1"/>
  <c r="AU93" i="1" s="1"/>
  <c r="AT94" i="1"/>
  <c r="AU94" i="1" s="1"/>
  <c r="AT95" i="1"/>
  <c r="AU95" i="1" s="1"/>
  <c r="AT96" i="1"/>
  <c r="AU96" i="1" s="1"/>
  <c r="AT97" i="1"/>
  <c r="AU97" i="1" s="1"/>
  <c r="AT98" i="1"/>
  <c r="AU98" i="1" s="1"/>
  <c r="AT99" i="1"/>
  <c r="AU99" i="1" s="1"/>
  <c r="AT100" i="1"/>
  <c r="AU100" i="1" s="1"/>
  <c r="AT101" i="1"/>
  <c r="AU101" i="1" s="1"/>
  <c r="AT102" i="1"/>
  <c r="AU102" i="1" s="1"/>
  <c r="AT103" i="1"/>
  <c r="AU103" i="1" s="1"/>
  <c r="AT104" i="1"/>
  <c r="AU104" i="1" s="1"/>
  <c r="AT105" i="1"/>
  <c r="AU105" i="1" s="1"/>
  <c r="AT106" i="1"/>
  <c r="AU106" i="1" s="1"/>
  <c r="AT107" i="1"/>
  <c r="AU107" i="1" s="1"/>
  <c r="AT108" i="1"/>
  <c r="AU108" i="1" s="1"/>
  <c r="AT109" i="1"/>
  <c r="AU109" i="1" s="1"/>
  <c r="AT110" i="1"/>
  <c r="AU110" i="1" s="1"/>
  <c r="AT111" i="1"/>
  <c r="AU111" i="1" s="1"/>
  <c r="AT112" i="1"/>
  <c r="AU112" i="1" s="1"/>
  <c r="AT113" i="1"/>
  <c r="AU113" i="1" s="1"/>
  <c r="AT114" i="1"/>
  <c r="AU114" i="1" s="1"/>
  <c r="AT115" i="1"/>
  <c r="AU115" i="1" s="1"/>
  <c r="AT116" i="1"/>
  <c r="AU116" i="1" s="1"/>
  <c r="AT117" i="1"/>
  <c r="AU117" i="1" s="1"/>
  <c r="AT118" i="1"/>
  <c r="AU118" i="1" s="1"/>
  <c r="AT119" i="1"/>
  <c r="AU119" i="1" s="1"/>
  <c r="AT120" i="1"/>
  <c r="AU120" i="1" s="1"/>
  <c r="AT121" i="1"/>
  <c r="AU121" i="1" s="1"/>
  <c r="AT122" i="1"/>
  <c r="AU122" i="1" s="1"/>
  <c r="AT123" i="1"/>
  <c r="AU123" i="1" s="1"/>
  <c r="AT124" i="1"/>
  <c r="AU124" i="1" s="1"/>
  <c r="AT125" i="1"/>
  <c r="AU125" i="1" s="1"/>
  <c r="AT126" i="1"/>
  <c r="AU126" i="1" s="1"/>
  <c r="AT127" i="1"/>
  <c r="AU127" i="1" s="1"/>
  <c r="AT128" i="1"/>
  <c r="AU128" i="1" s="1"/>
  <c r="AT129" i="1"/>
  <c r="AU129" i="1" s="1"/>
  <c r="AT130" i="1"/>
  <c r="AU130" i="1" s="1"/>
  <c r="AT131" i="1"/>
  <c r="AU131" i="1" s="1"/>
  <c r="AT132" i="1"/>
  <c r="AU132" i="1" s="1"/>
  <c r="AT133" i="1"/>
  <c r="AU133" i="1" s="1"/>
  <c r="AT134" i="1"/>
  <c r="AU134" i="1" s="1"/>
  <c r="AT135" i="1"/>
  <c r="AU135" i="1" s="1"/>
  <c r="AT136" i="1"/>
  <c r="AU136" i="1" s="1"/>
  <c r="AT137" i="1"/>
  <c r="AU137" i="1" s="1"/>
  <c r="AT138" i="1"/>
  <c r="AU138" i="1" s="1"/>
  <c r="AT139" i="1"/>
  <c r="AU139" i="1" s="1"/>
  <c r="AT140" i="1"/>
  <c r="AU140" i="1" s="1"/>
  <c r="AT141" i="1"/>
  <c r="AU141" i="1" s="1"/>
  <c r="AT142" i="1"/>
  <c r="AU142" i="1" s="1"/>
  <c r="AT143" i="1"/>
  <c r="AU143" i="1" s="1"/>
  <c r="AT144" i="1"/>
  <c r="AU144" i="1" s="1"/>
  <c r="AT145" i="1"/>
  <c r="AU145" i="1" s="1"/>
  <c r="AT146" i="1"/>
  <c r="AU146" i="1" s="1"/>
  <c r="AT147" i="1"/>
  <c r="AU147" i="1" s="1"/>
  <c r="AT148" i="1"/>
  <c r="AU148" i="1" s="1"/>
  <c r="AT149" i="1"/>
  <c r="AU149" i="1" s="1"/>
  <c r="AT150" i="1"/>
  <c r="AU150" i="1" s="1"/>
  <c r="AT151" i="1"/>
  <c r="AU151" i="1" s="1"/>
  <c r="AT152" i="1"/>
  <c r="AU152" i="1" s="1"/>
  <c r="AT153" i="1"/>
  <c r="AU153" i="1" s="1"/>
  <c r="AT154" i="1"/>
  <c r="AU154" i="1" s="1"/>
  <c r="AT155" i="1"/>
  <c r="AU155" i="1" s="1"/>
  <c r="AT156" i="1"/>
  <c r="AU156" i="1" s="1"/>
  <c r="AT157" i="1"/>
  <c r="AU157" i="1" s="1"/>
  <c r="AT158" i="1"/>
  <c r="AU158" i="1" s="1"/>
  <c r="AT159" i="1"/>
  <c r="AU159" i="1" s="1"/>
  <c r="AT160" i="1"/>
  <c r="AU160" i="1" s="1"/>
  <c r="AT161" i="1"/>
  <c r="AU161" i="1" s="1"/>
  <c r="AT162" i="1"/>
  <c r="AU162" i="1" s="1"/>
  <c r="AT163" i="1"/>
  <c r="AU163" i="1" s="1"/>
  <c r="AT164" i="1"/>
  <c r="AU164" i="1" s="1"/>
  <c r="AT165" i="1"/>
  <c r="AU165" i="1" s="1"/>
  <c r="AT166" i="1"/>
  <c r="AU166" i="1" s="1"/>
  <c r="AT167" i="1"/>
  <c r="AU167" i="1" s="1"/>
  <c r="AT168" i="1"/>
  <c r="AU168" i="1" s="1"/>
  <c r="AT169" i="1"/>
  <c r="AU169" i="1" s="1"/>
  <c r="AT170" i="1"/>
  <c r="AU170" i="1" s="1"/>
  <c r="AT171" i="1"/>
  <c r="AU171" i="1" s="1"/>
  <c r="AT172" i="1"/>
  <c r="AU172" i="1" s="1"/>
  <c r="AT173" i="1"/>
  <c r="AU173" i="1" s="1"/>
  <c r="AT174" i="1"/>
  <c r="AU174" i="1" s="1"/>
  <c r="AT175" i="1"/>
  <c r="AU175" i="1" s="1"/>
  <c r="AT176" i="1"/>
  <c r="AU176" i="1" s="1"/>
  <c r="AT177" i="1"/>
  <c r="AU177" i="1" s="1"/>
  <c r="AT178" i="1"/>
  <c r="AU178" i="1" s="1"/>
  <c r="AT179" i="1"/>
  <c r="AU179" i="1" s="1"/>
  <c r="AT180" i="1"/>
  <c r="AU180" i="1" s="1"/>
  <c r="AT181" i="1"/>
  <c r="AU181" i="1" s="1"/>
  <c r="AT182" i="1"/>
  <c r="AU182" i="1" s="1"/>
  <c r="AT183" i="1"/>
  <c r="AU183" i="1" s="1"/>
  <c r="AT184" i="1"/>
  <c r="AU184" i="1" s="1"/>
  <c r="AT185" i="1"/>
  <c r="AU185" i="1" s="1"/>
  <c r="AT186" i="1"/>
  <c r="AU186" i="1" s="1"/>
  <c r="AT187" i="1"/>
  <c r="AU187" i="1" s="1"/>
  <c r="AT188" i="1"/>
  <c r="AU188" i="1" s="1"/>
  <c r="AT189" i="1"/>
  <c r="AU189" i="1" s="1"/>
  <c r="AT190" i="1"/>
  <c r="AU190" i="1" s="1"/>
  <c r="AT191" i="1"/>
  <c r="AU191" i="1" s="1"/>
  <c r="AT192" i="1"/>
  <c r="AU192" i="1" s="1"/>
  <c r="AT193" i="1"/>
  <c r="AU193" i="1" s="1"/>
  <c r="AT194" i="1"/>
  <c r="AU194" i="1" s="1"/>
  <c r="AT195" i="1"/>
  <c r="AU195" i="1" s="1"/>
  <c r="AT196" i="1"/>
  <c r="AU196" i="1" s="1"/>
  <c r="AT197" i="1"/>
  <c r="AU197" i="1" s="1"/>
  <c r="AT198" i="1"/>
  <c r="AU198" i="1" s="1"/>
  <c r="AT199" i="1"/>
  <c r="AU199" i="1" s="1"/>
  <c r="AT200" i="1"/>
  <c r="AU200" i="1" s="1"/>
  <c r="AT201" i="1"/>
  <c r="AU201" i="1" s="1"/>
  <c r="AT202" i="1"/>
  <c r="AU202" i="1" s="1"/>
  <c r="AT203" i="1"/>
  <c r="AU203" i="1" s="1"/>
  <c r="AT204" i="1"/>
  <c r="AU204" i="1" s="1"/>
  <c r="AT205" i="1"/>
  <c r="AU205" i="1" s="1"/>
  <c r="AT206" i="1"/>
  <c r="AU206" i="1" s="1"/>
  <c r="AT207" i="1"/>
  <c r="AU207" i="1" s="1"/>
  <c r="AT208" i="1"/>
  <c r="AU208" i="1" s="1"/>
  <c r="AT209" i="1"/>
  <c r="AU209" i="1" s="1"/>
  <c r="AT210" i="1"/>
  <c r="AU210" i="1" s="1"/>
  <c r="AT211" i="1"/>
  <c r="AU211" i="1" s="1"/>
  <c r="AT212" i="1"/>
  <c r="AU212" i="1" s="1"/>
  <c r="AT213" i="1"/>
  <c r="AU213" i="1" s="1"/>
  <c r="AT214" i="1"/>
  <c r="AU214" i="1" s="1"/>
  <c r="AT215" i="1"/>
  <c r="AU215" i="1" s="1"/>
  <c r="AT216" i="1"/>
  <c r="AU216" i="1" s="1"/>
  <c r="AT217" i="1"/>
  <c r="AU217" i="1" s="1"/>
  <c r="AT218" i="1"/>
  <c r="AU218" i="1" s="1"/>
  <c r="AT219" i="1"/>
  <c r="AU219" i="1" s="1"/>
  <c r="AT220" i="1"/>
  <c r="AU220" i="1" s="1"/>
  <c r="AT221" i="1"/>
  <c r="AU221" i="1" s="1"/>
  <c r="AT222" i="1"/>
  <c r="AU222" i="1" s="1"/>
  <c r="AT223" i="1"/>
  <c r="AU223" i="1" s="1"/>
  <c r="AT224" i="1"/>
  <c r="AU224" i="1" s="1"/>
  <c r="AT225" i="1"/>
  <c r="AU225" i="1" s="1"/>
  <c r="AT226" i="1"/>
  <c r="AU226" i="1" s="1"/>
  <c r="AT2" i="1"/>
  <c r="AU2" i="1" s="1"/>
  <c r="K2" i="13"/>
  <c r="F3" i="13"/>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3" i="1"/>
  <c r="Z4" i="1"/>
  <c r="Z5" i="1"/>
  <c r="Z6" i="1"/>
  <c r="Z7" i="1"/>
  <c r="Z8" i="1"/>
  <c r="Z9" i="1"/>
  <c r="Z10" i="1"/>
  <c r="Z11" i="1"/>
  <c r="Z12" i="1"/>
  <c r="Z13" i="1"/>
  <c r="Z14" i="1"/>
  <c r="Z15" i="1"/>
  <c r="Z16" i="1"/>
  <c r="Z17" i="1"/>
  <c r="Z18" i="1"/>
  <c r="Z2" i="1"/>
  <c r="F60" i="13"/>
  <c r="E60" i="13"/>
  <c r="F57" i="13"/>
  <c r="E57" i="13"/>
  <c r="F58" i="13"/>
  <c r="E58" i="13"/>
  <c r="F59" i="13"/>
  <c r="E59" i="13"/>
  <c r="F7" i="13"/>
  <c r="F6" i="13"/>
  <c r="D18" i="10"/>
  <c r="C18" i="10"/>
  <c r="B18" i="10"/>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 i="1"/>
  <c r="X146" i="1"/>
  <c r="X172" i="1"/>
  <c r="X179" i="1"/>
  <c r="X180" i="1"/>
  <c r="X127" i="1"/>
  <c r="X149" i="1"/>
  <c r="X119" i="1"/>
  <c r="X142" i="1"/>
  <c r="X193" i="1"/>
  <c r="X2" i="1"/>
  <c r="X7" i="1"/>
  <c r="X35" i="1"/>
  <c r="X70" i="1"/>
  <c r="X67" i="1"/>
  <c r="X8" i="1"/>
  <c r="X98" i="1"/>
  <c r="X198" i="1"/>
  <c r="X68" i="1"/>
  <c r="X92" i="1"/>
  <c r="X143" i="1"/>
  <c r="X93" i="1"/>
  <c r="X132" i="1"/>
  <c r="X186" i="1"/>
  <c r="X133" i="1"/>
  <c r="X160" i="1"/>
  <c r="X206" i="1"/>
  <c r="X11" i="1"/>
  <c r="X63" i="1"/>
  <c r="X12" i="1"/>
  <c r="X134" i="1"/>
  <c r="X187" i="1"/>
  <c r="X153" i="1"/>
  <c r="X161" i="1"/>
  <c r="X45" i="1"/>
  <c r="X36" i="1"/>
  <c r="X135" i="1"/>
  <c r="X136" i="1"/>
  <c r="X128" i="1"/>
  <c r="X86" i="1"/>
  <c r="X123" i="1"/>
  <c r="X49" i="1"/>
  <c r="X221" i="1"/>
  <c r="X137" i="1"/>
  <c r="X209" i="1"/>
  <c r="X13" i="1"/>
  <c r="X50" i="1"/>
  <c r="X3" i="1"/>
  <c r="X166" i="1"/>
  <c r="X37" i="1"/>
  <c r="X60" i="1"/>
  <c r="X215" i="1"/>
  <c r="X71" i="1"/>
  <c r="X38" i="1"/>
  <c r="X216" i="1"/>
  <c r="X22" i="1"/>
  <c r="X129" i="1"/>
  <c r="X112" i="1"/>
  <c r="X201" i="1"/>
  <c r="X147" i="1"/>
  <c r="X164" i="1"/>
  <c r="X173" i="1"/>
  <c r="X17" i="1"/>
  <c r="X33" i="1"/>
  <c r="X207" i="1"/>
  <c r="X14" i="1"/>
  <c r="X130" i="1"/>
  <c r="X64" i="1"/>
  <c r="X55" i="1"/>
  <c r="X23" i="1"/>
  <c r="X165" i="1"/>
  <c r="X222" i="1"/>
  <c r="X108" i="1"/>
  <c r="X174" i="1"/>
  <c r="X202" i="1"/>
  <c r="X39" i="1"/>
  <c r="X103" i="1"/>
  <c r="X210" i="1"/>
  <c r="X28" i="1"/>
  <c r="X18" i="1"/>
  <c r="X138" i="1"/>
  <c r="X81" i="1"/>
  <c r="X194" i="1"/>
  <c r="X217" i="1"/>
  <c r="X99" i="1"/>
  <c r="X24" i="1"/>
  <c r="X56" i="1"/>
  <c r="X223" i="1"/>
  <c r="X195" i="1"/>
  <c r="X181" i="1"/>
  <c r="X124" i="1"/>
  <c r="X52" i="1"/>
  <c r="X196" i="1"/>
  <c r="X57" i="1"/>
  <c r="X82" i="1"/>
  <c r="X167" i="1"/>
  <c r="X29" i="1"/>
  <c r="X199" i="1"/>
  <c r="X168" i="1"/>
  <c r="X113" i="1"/>
  <c r="X87" i="1"/>
  <c r="X88" i="1"/>
  <c r="X19" i="1"/>
  <c r="X155" i="1"/>
  <c r="X156" i="1"/>
  <c r="X46" i="1"/>
  <c r="X9" i="1"/>
  <c r="X150" i="1"/>
  <c r="X211" i="1"/>
  <c r="X182" i="1"/>
  <c r="X188" i="1"/>
  <c r="X77" i="1"/>
  <c r="X40" i="1"/>
  <c r="X114" i="1"/>
  <c r="X15" i="1"/>
  <c r="X94" i="1"/>
  <c r="X203" i="1"/>
  <c r="X31" i="1"/>
  <c r="X4" i="1"/>
  <c r="X65" i="1"/>
  <c r="X218" i="1"/>
  <c r="X125" i="1"/>
  <c r="X224" i="1"/>
  <c r="X16" i="1"/>
  <c r="X154" i="1"/>
  <c r="X100" i="1"/>
  <c r="X20" i="1"/>
  <c r="X175" i="1"/>
  <c r="X115" i="1"/>
  <c r="X41" i="1"/>
  <c r="X25" i="1"/>
  <c r="X110" i="1"/>
  <c r="X32" i="1"/>
  <c r="X157" i="1"/>
  <c r="X183" i="1"/>
  <c r="X176" i="1"/>
  <c r="X177" i="1"/>
  <c r="X148" i="1"/>
  <c r="X101" i="1"/>
  <c r="X109" i="1"/>
  <c r="X61" i="1"/>
  <c r="X62" i="1"/>
  <c r="X42" i="1"/>
  <c r="X162" i="1"/>
  <c r="X78" i="1"/>
  <c r="X83" i="1"/>
  <c r="X30" i="1"/>
  <c r="X73" i="1"/>
  <c r="X58" i="1"/>
  <c r="X189" i="1"/>
  <c r="X59" i="1"/>
  <c r="X84" i="1"/>
  <c r="X190" i="1"/>
  <c r="X170" i="1"/>
  <c r="X131" i="1"/>
  <c r="X95" i="1"/>
  <c r="X34" i="1"/>
  <c r="X169" i="1"/>
  <c r="X225" i="1"/>
  <c r="X111" i="1"/>
  <c r="X104" i="1"/>
  <c r="X79" i="1"/>
  <c r="X116" i="1"/>
  <c r="X212" i="1"/>
  <c r="X120" i="1"/>
  <c r="X158" i="1"/>
  <c r="X89" i="1"/>
  <c r="X43" i="1"/>
  <c r="X219" i="1"/>
  <c r="X191" i="1"/>
  <c r="X184" i="1"/>
  <c r="X44" i="1"/>
  <c r="X85" i="1"/>
  <c r="X96" i="1"/>
  <c r="X213" i="1"/>
  <c r="X117" i="1"/>
  <c r="X171" i="1"/>
  <c r="X144" i="1"/>
  <c r="X53" i="1"/>
  <c r="X121" i="1"/>
  <c r="X159" i="1"/>
  <c r="X178" i="1"/>
  <c r="X200" i="1"/>
  <c r="X105" i="1"/>
  <c r="X139" i="1"/>
  <c r="X74" i="1"/>
  <c r="X80" i="1"/>
  <c r="X106" i="1"/>
  <c r="X208" i="1"/>
  <c r="X107" i="1"/>
  <c r="X90" i="1"/>
  <c r="X126" i="1"/>
  <c r="X47" i="1"/>
  <c r="X69" i="1"/>
  <c r="X26" i="1"/>
  <c r="X122" i="1"/>
  <c r="X48" i="1"/>
  <c r="X226" i="1"/>
  <c r="X10" i="1"/>
  <c r="X75" i="1"/>
  <c r="X192" i="1"/>
  <c r="X151" i="1"/>
  <c r="X214" i="1"/>
  <c r="X197" i="1"/>
  <c r="X5" i="1"/>
  <c r="X204" i="1"/>
  <c r="X21" i="1"/>
  <c r="X66" i="1"/>
  <c r="X163" i="1"/>
  <c r="X118" i="1"/>
  <c r="X6" i="1"/>
  <c r="X140" i="1"/>
  <c r="X72" i="1"/>
  <c r="X152" i="1"/>
  <c r="X54" i="1"/>
  <c r="X91" i="1"/>
  <c r="X220" i="1"/>
  <c r="X145" i="1"/>
  <c r="X141" i="1"/>
  <c r="X205" i="1"/>
  <c r="X27" i="1"/>
  <c r="X76" i="1"/>
  <c r="X51" i="1"/>
  <c r="X185" i="1"/>
  <c r="X102" i="1"/>
  <c r="X97" i="1"/>
  <c r="AC70" i="1"/>
  <c r="AC131" i="1"/>
  <c r="AC212" i="1"/>
  <c r="AC89" i="1"/>
  <c r="AC54" i="1"/>
  <c r="AQ146" i="1"/>
  <c r="AR146" i="1" s="1"/>
  <c r="AS146" i="1" s="1"/>
  <c r="AQ172" i="1"/>
  <c r="AR172" i="1" s="1"/>
  <c r="AS172" i="1" s="1"/>
  <c r="AQ179" i="1"/>
  <c r="AR179" i="1" s="1"/>
  <c r="AS179" i="1" s="1"/>
  <c r="AQ180" i="1"/>
  <c r="AR180" i="1" s="1"/>
  <c r="AS180" i="1" s="1"/>
  <c r="AQ127" i="1"/>
  <c r="AR127" i="1" s="1"/>
  <c r="AS127" i="1" s="1"/>
  <c r="AQ149" i="1"/>
  <c r="AR149" i="1" s="1"/>
  <c r="AS149" i="1" s="1"/>
  <c r="AQ119" i="1"/>
  <c r="AR119" i="1" s="1"/>
  <c r="AS119" i="1" s="1"/>
  <c r="AQ142" i="1"/>
  <c r="AR142" i="1" s="1"/>
  <c r="AS142" i="1" s="1"/>
  <c r="AQ193" i="1"/>
  <c r="AR193" i="1" s="1"/>
  <c r="AS193" i="1" s="1"/>
  <c r="AQ2" i="1"/>
  <c r="AR2" i="1" s="1"/>
  <c r="AS2" i="1" s="1"/>
  <c r="AQ7" i="1"/>
  <c r="AR7" i="1" s="1"/>
  <c r="AS7" i="1" s="1"/>
  <c r="AQ35" i="1"/>
  <c r="AR35" i="1" s="1"/>
  <c r="AS35" i="1" s="1"/>
  <c r="AQ70" i="1"/>
  <c r="AR70" i="1" s="1"/>
  <c r="AS70" i="1" s="1"/>
  <c r="AQ67" i="1"/>
  <c r="AR67" i="1" s="1"/>
  <c r="AS67" i="1" s="1"/>
  <c r="AQ8" i="1"/>
  <c r="AR8" i="1" s="1"/>
  <c r="AS8" i="1" s="1"/>
  <c r="AQ98" i="1"/>
  <c r="AR98" i="1" s="1"/>
  <c r="AS98" i="1" s="1"/>
  <c r="AQ198" i="1"/>
  <c r="AR198" i="1" s="1"/>
  <c r="AS198" i="1" s="1"/>
  <c r="AQ68" i="1"/>
  <c r="AR68" i="1" s="1"/>
  <c r="AS68" i="1" s="1"/>
  <c r="AQ92" i="1"/>
  <c r="AR92" i="1" s="1"/>
  <c r="AS92" i="1" s="1"/>
  <c r="AQ143" i="1"/>
  <c r="AR143" i="1" s="1"/>
  <c r="AS143" i="1" s="1"/>
  <c r="AQ93" i="1"/>
  <c r="AR93" i="1" s="1"/>
  <c r="AS93" i="1" s="1"/>
  <c r="AQ132" i="1"/>
  <c r="AR132" i="1" s="1"/>
  <c r="AS132" i="1" s="1"/>
  <c r="AQ186" i="1"/>
  <c r="AR186" i="1" s="1"/>
  <c r="AS186" i="1" s="1"/>
  <c r="AQ133" i="1"/>
  <c r="AR133" i="1" s="1"/>
  <c r="AS133" i="1" s="1"/>
  <c r="AQ160" i="1"/>
  <c r="AR160" i="1" s="1"/>
  <c r="AS160" i="1" s="1"/>
  <c r="AQ206" i="1"/>
  <c r="AR206" i="1" s="1"/>
  <c r="AS206" i="1" s="1"/>
  <c r="AQ11" i="1"/>
  <c r="AR11" i="1" s="1"/>
  <c r="AS11" i="1" s="1"/>
  <c r="AQ63" i="1"/>
  <c r="AR63" i="1" s="1"/>
  <c r="AS63" i="1" s="1"/>
  <c r="AQ12" i="1"/>
  <c r="AR12" i="1" s="1"/>
  <c r="AS12" i="1" s="1"/>
  <c r="AQ134" i="1"/>
  <c r="AR134" i="1" s="1"/>
  <c r="AS134" i="1" s="1"/>
  <c r="AQ187" i="1"/>
  <c r="AR187" i="1" s="1"/>
  <c r="AS187" i="1" s="1"/>
  <c r="AQ153" i="1"/>
  <c r="AR153" i="1" s="1"/>
  <c r="AS153" i="1" s="1"/>
  <c r="AQ161" i="1"/>
  <c r="AR161" i="1" s="1"/>
  <c r="AS161" i="1" s="1"/>
  <c r="AQ45" i="1"/>
  <c r="AR45" i="1" s="1"/>
  <c r="AS45" i="1" s="1"/>
  <c r="AQ36" i="1"/>
  <c r="AR36" i="1" s="1"/>
  <c r="AS36" i="1" s="1"/>
  <c r="AQ135" i="1"/>
  <c r="AR135" i="1" s="1"/>
  <c r="AS135" i="1" s="1"/>
  <c r="AQ136" i="1"/>
  <c r="AR136" i="1" s="1"/>
  <c r="AS136" i="1" s="1"/>
  <c r="AQ128" i="1"/>
  <c r="AR128" i="1" s="1"/>
  <c r="AS128" i="1" s="1"/>
  <c r="AQ86" i="1"/>
  <c r="AR86" i="1" s="1"/>
  <c r="AS86" i="1" s="1"/>
  <c r="AQ123" i="1"/>
  <c r="AR123" i="1" s="1"/>
  <c r="AS123" i="1" s="1"/>
  <c r="AQ49" i="1"/>
  <c r="AR49" i="1" s="1"/>
  <c r="AS49" i="1" s="1"/>
  <c r="AQ221" i="1"/>
  <c r="AR221" i="1" s="1"/>
  <c r="AS221" i="1" s="1"/>
  <c r="AQ137" i="1"/>
  <c r="AR137" i="1" s="1"/>
  <c r="AS137" i="1" s="1"/>
  <c r="AQ209" i="1"/>
  <c r="AR209" i="1" s="1"/>
  <c r="AS209" i="1" s="1"/>
  <c r="AQ13" i="1"/>
  <c r="AR13" i="1" s="1"/>
  <c r="AS13" i="1" s="1"/>
  <c r="AQ50" i="1"/>
  <c r="AR50" i="1" s="1"/>
  <c r="AS50" i="1" s="1"/>
  <c r="AQ3" i="1"/>
  <c r="AR3" i="1" s="1"/>
  <c r="AS3" i="1" s="1"/>
  <c r="AQ166" i="1"/>
  <c r="AR166" i="1" s="1"/>
  <c r="AS166" i="1" s="1"/>
  <c r="AQ37" i="1"/>
  <c r="AR37" i="1" s="1"/>
  <c r="AS37" i="1" s="1"/>
  <c r="AQ60" i="1"/>
  <c r="AR60" i="1" s="1"/>
  <c r="AS60" i="1" s="1"/>
  <c r="AQ215" i="1"/>
  <c r="AR215" i="1" s="1"/>
  <c r="AS215" i="1" s="1"/>
  <c r="AQ71" i="1"/>
  <c r="AR71" i="1" s="1"/>
  <c r="AS71" i="1" s="1"/>
  <c r="AQ38" i="1"/>
  <c r="AR38" i="1" s="1"/>
  <c r="AS38" i="1" s="1"/>
  <c r="AQ216" i="1"/>
  <c r="AR216" i="1" s="1"/>
  <c r="AS216" i="1" s="1"/>
  <c r="AQ22" i="1"/>
  <c r="AR22" i="1" s="1"/>
  <c r="AS22" i="1" s="1"/>
  <c r="AQ129" i="1"/>
  <c r="AR129" i="1" s="1"/>
  <c r="AS129" i="1" s="1"/>
  <c r="AQ112" i="1"/>
  <c r="AR112" i="1" s="1"/>
  <c r="AS112" i="1" s="1"/>
  <c r="AQ201" i="1"/>
  <c r="AR201" i="1" s="1"/>
  <c r="AS201" i="1" s="1"/>
  <c r="AQ147" i="1"/>
  <c r="AR147" i="1" s="1"/>
  <c r="AS147" i="1" s="1"/>
  <c r="AQ164" i="1"/>
  <c r="AR164" i="1" s="1"/>
  <c r="AS164" i="1" s="1"/>
  <c r="AQ173" i="1"/>
  <c r="AR173" i="1" s="1"/>
  <c r="AS173" i="1" s="1"/>
  <c r="AQ17" i="1"/>
  <c r="AR17" i="1" s="1"/>
  <c r="AS17" i="1" s="1"/>
  <c r="AQ33" i="1"/>
  <c r="AR33" i="1" s="1"/>
  <c r="AS33" i="1" s="1"/>
  <c r="AQ207" i="1"/>
  <c r="AR207" i="1" s="1"/>
  <c r="AS207" i="1" s="1"/>
  <c r="AQ14" i="1"/>
  <c r="AR14" i="1" s="1"/>
  <c r="AS14" i="1" s="1"/>
  <c r="AQ130" i="1"/>
  <c r="AR130" i="1" s="1"/>
  <c r="AS130" i="1" s="1"/>
  <c r="AQ64" i="1"/>
  <c r="AR64" i="1" s="1"/>
  <c r="AS64" i="1" s="1"/>
  <c r="AQ55" i="1"/>
  <c r="AR55" i="1" s="1"/>
  <c r="AS55" i="1" s="1"/>
  <c r="AQ23" i="1"/>
  <c r="AR23" i="1" s="1"/>
  <c r="AS23" i="1" s="1"/>
  <c r="AQ165" i="1"/>
  <c r="AR165" i="1" s="1"/>
  <c r="AS165" i="1" s="1"/>
  <c r="AQ222" i="1"/>
  <c r="AR222" i="1" s="1"/>
  <c r="AS222" i="1" s="1"/>
  <c r="AQ108" i="1"/>
  <c r="AR108" i="1" s="1"/>
  <c r="AS108" i="1" s="1"/>
  <c r="AQ174" i="1"/>
  <c r="AR174" i="1" s="1"/>
  <c r="AS174" i="1" s="1"/>
  <c r="AQ202" i="1"/>
  <c r="AR202" i="1" s="1"/>
  <c r="AS202" i="1" s="1"/>
  <c r="AQ39" i="1"/>
  <c r="AR39" i="1" s="1"/>
  <c r="AS39" i="1" s="1"/>
  <c r="AQ103" i="1"/>
  <c r="AR103" i="1" s="1"/>
  <c r="AS103" i="1" s="1"/>
  <c r="AQ210" i="1"/>
  <c r="AR210" i="1" s="1"/>
  <c r="AS210" i="1" s="1"/>
  <c r="AQ28" i="1"/>
  <c r="AR28" i="1" s="1"/>
  <c r="AS28" i="1" s="1"/>
  <c r="AQ18" i="1"/>
  <c r="AR18" i="1" s="1"/>
  <c r="AS18" i="1" s="1"/>
  <c r="AQ138" i="1"/>
  <c r="AR138" i="1" s="1"/>
  <c r="AS138" i="1" s="1"/>
  <c r="AQ81" i="1"/>
  <c r="AR81" i="1" s="1"/>
  <c r="AS81" i="1" s="1"/>
  <c r="AQ194" i="1"/>
  <c r="AR194" i="1" s="1"/>
  <c r="AS194" i="1" s="1"/>
  <c r="AQ217" i="1"/>
  <c r="AR217" i="1" s="1"/>
  <c r="AS217" i="1" s="1"/>
  <c r="AQ99" i="1"/>
  <c r="AR99" i="1" s="1"/>
  <c r="AS99" i="1" s="1"/>
  <c r="AQ24" i="1"/>
  <c r="AR24" i="1" s="1"/>
  <c r="AS24" i="1" s="1"/>
  <c r="AQ56" i="1"/>
  <c r="AR56" i="1" s="1"/>
  <c r="AS56" i="1" s="1"/>
  <c r="AQ223" i="1"/>
  <c r="AR223" i="1" s="1"/>
  <c r="AS223" i="1" s="1"/>
  <c r="AQ195" i="1"/>
  <c r="AR195" i="1" s="1"/>
  <c r="AS195" i="1" s="1"/>
  <c r="AQ181" i="1"/>
  <c r="AR181" i="1" s="1"/>
  <c r="AS181" i="1" s="1"/>
  <c r="AQ124" i="1"/>
  <c r="AR124" i="1" s="1"/>
  <c r="AS124" i="1" s="1"/>
  <c r="AQ52" i="1"/>
  <c r="AR52" i="1" s="1"/>
  <c r="AS52" i="1" s="1"/>
  <c r="AQ196" i="1"/>
  <c r="AR196" i="1" s="1"/>
  <c r="AS196" i="1" s="1"/>
  <c r="AQ57" i="1"/>
  <c r="AR57" i="1" s="1"/>
  <c r="AS57" i="1" s="1"/>
  <c r="AQ82" i="1"/>
  <c r="AR82" i="1" s="1"/>
  <c r="AS82" i="1" s="1"/>
  <c r="AQ167" i="1"/>
  <c r="AR167" i="1" s="1"/>
  <c r="AS167" i="1" s="1"/>
  <c r="AQ29" i="1"/>
  <c r="AR29" i="1" s="1"/>
  <c r="AS29" i="1" s="1"/>
  <c r="AQ199" i="1"/>
  <c r="AR199" i="1" s="1"/>
  <c r="AS199" i="1" s="1"/>
  <c r="AQ168" i="1"/>
  <c r="AR168" i="1" s="1"/>
  <c r="AS168" i="1" s="1"/>
  <c r="AQ113" i="1"/>
  <c r="AR113" i="1" s="1"/>
  <c r="AS113" i="1" s="1"/>
  <c r="AQ87" i="1"/>
  <c r="AR87" i="1" s="1"/>
  <c r="AS87" i="1" s="1"/>
  <c r="AQ88" i="1"/>
  <c r="AR88" i="1" s="1"/>
  <c r="AS88" i="1" s="1"/>
  <c r="AQ19" i="1"/>
  <c r="AR19" i="1" s="1"/>
  <c r="AS19" i="1" s="1"/>
  <c r="AQ155" i="1"/>
  <c r="AR155" i="1" s="1"/>
  <c r="AS155" i="1" s="1"/>
  <c r="AQ156" i="1"/>
  <c r="AR156" i="1" s="1"/>
  <c r="AS156" i="1" s="1"/>
  <c r="AQ46" i="1"/>
  <c r="AR46" i="1" s="1"/>
  <c r="AS46" i="1" s="1"/>
  <c r="AQ9" i="1"/>
  <c r="AR9" i="1" s="1"/>
  <c r="AS9" i="1" s="1"/>
  <c r="AQ150" i="1"/>
  <c r="AR150" i="1" s="1"/>
  <c r="AS150" i="1" s="1"/>
  <c r="AQ211" i="1"/>
  <c r="AR211" i="1" s="1"/>
  <c r="AS211" i="1" s="1"/>
  <c r="AQ182" i="1"/>
  <c r="AR182" i="1" s="1"/>
  <c r="AS182" i="1" s="1"/>
  <c r="AQ188" i="1"/>
  <c r="AR188" i="1" s="1"/>
  <c r="AS188" i="1" s="1"/>
  <c r="AQ77" i="1"/>
  <c r="AR77" i="1" s="1"/>
  <c r="AS77" i="1" s="1"/>
  <c r="AQ40" i="1"/>
  <c r="AR40" i="1" s="1"/>
  <c r="AS40" i="1" s="1"/>
  <c r="AQ114" i="1"/>
  <c r="AR114" i="1" s="1"/>
  <c r="AS114" i="1" s="1"/>
  <c r="AQ15" i="1"/>
  <c r="AR15" i="1" s="1"/>
  <c r="AS15" i="1" s="1"/>
  <c r="AQ94" i="1"/>
  <c r="AR94" i="1" s="1"/>
  <c r="AS94" i="1" s="1"/>
  <c r="AQ203" i="1"/>
  <c r="AR203" i="1" s="1"/>
  <c r="AS203" i="1" s="1"/>
  <c r="AQ31" i="1"/>
  <c r="AR31" i="1" s="1"/>
  <c r="AS31" i="1" s="1"/>
  <c r="AQ4" i="1"/>
  <c r="AR4" i="1" s="1"/>
  <c r="AS4" i="1" s="1"/>
  <c r="AQ65" i="1"/>
  <c r="AR65" i="1" s="1"/>
  <c r="AS65" i="1" s="1"/>
  <c r="AQ218" i="1"/>
  <c r="AR218" i="1" s="1"/>
  <c r="AS218" i="1" s="1"/>
  <c r="AQ125" i="1"/>
  <c r="AR125" i="1" s="1"/>
  <c r="AS125" i="1" s="1"/>
  <c r="AQ224" i="1"/>
  <c r="AR224" i="1" s="1"/>
  <c r="AS224" i="1" s="1"/>
  <c r="AQ16" i="1"/>
  <c r="AR16" i="1" s="1"/>
  <c r="AS16" i="1" s="1"/>
  <c r="AQ154" i="1"/>
  <c r="AR154" i="1" s="1"/>
  <c r="AS154" i="1" s="1"/>
  <c r="AQ100" i="1"/>
  <c r="AR100" i="1" s="1"/>
  <c r="AS100" i="1" s="1"/>
  <c r="AQ20" i="1"/>
  <c r="AR20" i="1" s="1"/>
  <c r="AS20" i="1" s="1"/>
  <c r="AQ175" i="1"/>
  <c r="AR175" i="1" s="1"/>
  <c r="AS175" i="1" s="1"/>
  <c r="AQ115" i="1"/>
  <c r="AR115" i="1" s="1"/>
  <c r="AS115" i="1" s="1"/>
  <c r="AQ41" i="1"/>
  <c r="AR41" i="1" s="1"/>
  <c r="AS41" i="1" s="1"/>
  <c r="AQ25" i="1"/>
  <c r="AR25" i="1" s="1"/>
  <c r="AS25" i="1" s="1"/>
  <c r="AQ110" i="1"/>
  <c r="AR110" i="1" s="1"/>
  <c r="AS110" i="1" s="1"/>
  <c r="AQ32" i="1"/>
  <c r="AR32" i="1" s="1"/>
  <c r="AS32" i="1" s="1"/>
  <c r="AQ157" i="1"/>
  <c r="AR157" i="1" s="1"/>
  <c r="AS157" i="1" s="1"/>
  <c r="AQ183" i="1"/>
  <c r="AR183" i="1" s="1"/>
  <c r="AS183" i="1" s="1"/>
  <c r="AQ176" i="1"/>
  <c r="AR176" i="1" s="1"/>
  <c r="AS176" i="1" s="1"/>
  <c r="AQ177" i="1"/>
  <c r="AR177" i="1" s="1"/>
  <c r="AS177" i="1" s="1"/>
  <c r="AQ148" i="1"/>
  <c r="AR148" i="1" s="1"/>
  <c r="AS148" i="1" s="1"/>
  <c r="AQ101" i="1"/>
  <c r="AR101" i="1" s="1"/>
  <c r="AS101" i="1" s="1"/>
  <c r="AQ109" i="1"/>
  <c r="AR109" i="1" s="1"/>
  <c r="AS109" i="1" s="1"/>
  <c r="AQ61" i="1"/>
  <c r="AR61" i="1" s="1"/>
  <c r="AS61" i="1" s="1"/>
  <c r="AQ62" i="1"/>
  <c r="AR62" i="1" s="1"/>
  <c r="AS62" i="1" s="1"/>
  <c r="AQ42" i="1"/>
  <c r="AR42" i="1" s="1"/>
  <c r="AS42" i="1" s="1"/>
  <c r="AQ162" i="1"/>
  <c r="AR162" i="1" s="1"/>
  <c r="AS162" i="1" s="1"/>
  <c r="AQ78" i="1"/>
  <c r="AR78" i="1" s="1"/>
  <c r="AS78" i="1" s="1"/>
  <c r="AQ83" i="1"/>
  <c r="AR83" i="1" s="1"/>
  <c r="AS83" i="1" s="1"/>
  <c r="AQ30" i="1"/>
  <c r="AR30" i="1" s="1"/>
  <c r="AS30" i="1" s="1"/>
  <c r="AQ73" i="1"/>
  <c r="AR73" i="1" s="1"/>
  <c r="AS73" i="1" s="1"/>
  <c r="AQ58" i="1"/>
  <c r="AR58" i="1" s="1"/>
  <c r="AS58" i="1" s="1"/>
  <c r="AQ189" i="1"/>
  <c r="AR189" i="1" s="1"/>
  <c r="AS189" i="1" s="1"/>
  <c r="AQ59" i="1"/>
  <c r="AR59" i="1" s="1"/>
  <c r="AS59" i="1" s="1"/>
  <c r="AQ84" i="1"/>
  <c r="AR84" i="1" s="1"/>
  <c r="AS84" i="1" s="1"/>
  <c r="AQ190" i="1"/>
  <c r="AR190" i="1" s="1"/>
  <c r="AS190" i="1" s="1"/>
  <c r="AQ170" i="1"/>
  <c r="AR170" i="1" s="1"/>
  <c r="AS170" i="1" s="1"/>
  <c r="AQ131" i="1"/>
  <c r="AR131" i="1" s="1"/>
  <c r="AS131" i="1" s="1"/>
  <c r="AQ95" i="1"/>
  <c r="AR95" i="1" s="1"/>
  <c r="AS95" i="1" s="1"/>
  <c r="AQ34" i="1"/>
  <c r="AR34" i="1" s="1"/>
  <c r="AS34" i="1" s="1"/>
  <c r="AQ169" i="1"/>
  <c r="AR169" i="1" s="1"/>
  <c r="AS169" i="1" s="1"/>
  <c r="AQ225" i="1"/>
  <c r="AR225" i="1" s="1"/>
  <c r="AS225" i="1" s="1"/>
  <c r="AQ111" i="1"/>
  <c r="AR111" i="1" s="1"/>
  <c r="AS111" i="1" s="1"/>
  <c r="AQ104" i="1"/>
  <c r="AR104" i="1" s="1"/>
  <c r="AS104" i="1" s="1"/>
  <c r="AQ79" i="1"/>
  <c r="AR79" i="1" s="1"/>
  <c r="AS79" i="1" s="1"/>
  <c r="AQ116" i="1"/>
  <c r="AR116" i="1" s="1"/>
  <c r="AS116" i="1" s="1"/>
  <c r="AQ212" i="1"/>
  <c r="AR212" i="1" s="1"/>
  <c r="AS212" i="1" s="1"/>
  <c r="AQ120" i="1"/>
  <c r="AR120" i="1" s="1"/>
  <c r="AS120" i="1" s="1"/>
  <c r="AQ158" i="1"/>
  <c r="AR158" i="1" s="1"/>
  <c r="AS158" i="1" s="1"/>
  <c r="AQ89" i="1"/>
  <c r="AR89" i="1" s="1"/>
  <c r="AS89" i="1" s="1"/>
  <c r="AQ43" i="1"/>
  <c r="AR43" i="1" s="1"/>
  <c r="AS43" i="1" s="1"/>
  <c r="AQ219" i="1"/>
  <c r="AR219" i="1" s="1"/>
  <c r="AS219" i="1" s="1"/>
  <c r="AQ191" i="1"/>
  <c r="AR191" i="1" s="1"/>
  <c r="AS191" i="1" s="1"/>
  <c r="AQ184" i="1"/>
  <c r="AR184" i="1" s="1"/>
  <c r="AS184" i="1" s="1"/>
  <c r="AQ44" i="1"/>
  <c r="AR44" i="1" s="1"/>
  <c r="AS44" i="1" s="1"/>
  <c r="AQ85" i="1"/>
  <c r="AR85" i="1" s="1"/>
  <c r="AS85" i="1" s="1"/>
  <c r="AQ96" i="1"/>
  <c r="AR96" i="1" s="1"/>
  <c r="AS96" i="1" s="1"/>
  <c r="AQ213" i="1"/>
  <c r="AR213" i="1" s="1"/>
  <c r="AS213" i="1" s="1"/>
  <c r="AQ117" i="1"/>
  <c r="AR117" i="1" s="1"/>
  <c r="AS117" i="1" s="1"/>
  <c r="AQ171" i="1"/>
  <c r="AR171" i="1" s="1"/>
  <c r="AS171" i="1" s="1"/>
  <c r="AQ144" i="1"/>
  <c r="AR144" i="1" s="1"/>
  <c r="AS144" i="1" s="1"/>
  <c r="AQ53" i="1"/>
  <c r="AR53" i="1" s="1"/>
  <c r="AS53" i="1" s="1"/>
  <c r="AQ121" i="1"/>
  <c r="AR121" i="1" s="1"/>
  <c r="AS121" i="1" s="1"/>
  <c r="AQ159" i="1"/>
  <c r="AR159" i="1" s="1"/>
  <c r="AS159" i="1" s="1"/>
  <c r="AQ178" i="1"/>
  <c r="AR178" i="1" s="1"/>
  <c r="AS178" i="1" s="1"/>
  <c r="AQ200" i="1"/>
  <c r="AR200" i="1" s="1"/>
  <c r="AS200" i="1" s="1"/>
  <c r="AQ105" i="1"/>
  <c r="AR105" i="1" s="1"/>
  <c r="AS105" i="1" s="1"/>
  <c r="AQ139" i="1"/>
  <c r="AR139" i="1" s="1"/>
  <c r="AS139" i="1" s="1"/>
  <c r="AQ74" i="1"/>
  <c r="AR74" i="1" s="1"/>
  <c r="AS74" i="1" s="1"/>
  <c r="AQ80" i="1"/>
  <c r="AR80" i="1" s="1"/>
  <c r="AS80" i="1" s="1"/>
  <c r="AQ106" i="1"/>
  <c r="AR106" i="1" s="1"/>
  <c r="AS106" i="1" s="1"/>
  <c r="AQ208" i="1"/>
  <c r="AR208" i="1" s="1"/>
  <c r="AS208" i="1" s="1"/>
  <c r="AQ107" i="1"/>
  <c r="AR107" i="1" s="1"/>
  <c r="AS107" i="1" s="1"/>
  <c r="AQ90" i="1"/>
  <c r="AR90" i="1" s="1"/>
  <c r="AS90" i="1" s="1"/>
  <c r="AQ126" i="1"/>
  <c r="AR126" i="1" s="1"/>
  <c r="AS126" i="1" s="1"/>
  <c r="AQ47" i="1"/>
  <c r="AR47" i="1" s="1"/>
  <c r="AS47" i="1" s="1"/>
  <c r="AQ69" i="1"/>
  <c r="AR69" i="1" s="1"/>
  <c r="AS69" i="1" s="1"/>
  <c r="AQ26" i="1"/>
  <c r="AR26" i="1" s="1"/>
  <c r="AS26" i="1" s="1"/>
  <c r="AQ122" i="1"/>
  <c r="AR122" i="1" s="1"/>
  <c r="AS122" i="1" s="1"/>
  <c r="AQ48" i="1"/>
  <c r="AR48" i="1" s="1"/>
  <c r="AS48" i="1" s="1"/>
  <c r="AQ226" i="1"/>
  <c r="AR226" i="1" s="1"/>
  <c r="AS226" i="1" s="1"/>
  <c r="AQ10" i="1"/>
  <c r="AR10" i="1" s="1"/>
  <c r="AS10" i="1" s="1"/>
  <c r="AQ75" i="1"/>
  <c r="AR75" i="1" s="1"/>
  <c r="AS75" i="1" s="1"/>
  <c r="AQ192" i="1"/>
  <c r="AR192" i="1" s="1"/>
  <c r="AS192" i="1" s="1"/>
  <c r="AQ151" i="1"/>
  <c r="AR151" i="1" s="1"/>
  <c r="AS151" i="1" s="1"/>
  <c r="AQ214" i="1"/>
  <c r="AR214" i="1" s="1"/>
  <c r="AS214" i="1" s="1"/>
  <c r="AQ197" i="1"/>
  <c r="AR197" i="1" s="1"/>
  <c r="AS197" i="1" s="1"/>
  <c r="AQ5" i="1"/>
  <c r="AR5" i="1" s="1"/>
  <c r="AS5" i="1" s="1"/>
  <c r="AQ204" i="1"/>
  <c r="AR204" i="1" s="1"/>
  <c r="AS204" i="1" s="1"/>
  <c r="AQ21" i="1"/>
  <c r="AR21" i="1" s="1"/>
  <c r="AS21" i="1" s="1"/>
  <c r="AQ66" i="1"/>
  <c r="AR66" i="1" s="1"/>
  <c r="AS66" i="1" s="1"/>
  <c r="AQ163" i="1"/>
  <c r="AR163" i="1" s="1"/>
  <c r="AS163" i="1" s="1"/>
  <c r="AQ118" i="1"/>
  <c r="AR118" i="1" s="1"/>
  <c r="AS118" i="1" s="1"/>
  <c r="AQ6" i="1"/>
  <c r="AR6" i="1" s="1"/>
  <c r="AS6" i="1" s="1"/>
  <c r="AQ140" i="1"/>
  <c r="AR140" i="1" s="1"/>
  <c r="AS140" i="1" s="1"/>
  <c r="AQ72" i="1"/>
  <c r="AR72" i="1" s="1"/>
  <c r="AS72" i="1" s="1"/>
  <c r="AQ152" i="1"/>
  <c r="AR152" i="1" s="1"/>
  <c r="AS152" i="1" s="1"/>
  <c r="AQ54" i="1"/>
  <c r="AR54" i="1" s="1"/>
  <c r="AS54" i="1" s="1"/>
  <c r="AQ91" i="1"/>
  <c r="AR91" i="1" s="1"/>
  <c r="AS91" i="1" s="1"/>
  <c r="AQ220" i="1"/>
  <c r="AR220" i="1" s="1"/>
  <c r="AS220" i="1" s="1"/>
  <c r="AQ145" i="1"/>
  <c r="AR145" i="1" s="1"/>
  <c r="AS145" i="1" s="1"/>
  <c r="AQ141" i="1"/>
  <c r="AR141" i="1" s="1"/>
  <c r="AS141" i="1" s="1"/>
  <c r="AQ205" i="1"/>
  <c r="AR205" i="1" s="1"/>
  <c r="AS205" i="1" s="1"/>
  <c r="AQ27" i="1"/>
  <c r="AR27" i="1" s="1"/>
  <c r="AS27" i="1" s="1"/>
  <c r="AQ76" i="1"/>
  <c r="AR76" i="1" s="1"/>
  <c r="AS76" i="1" s="1"/>
  <c r="AQ51" i="1"/>
  <c r="AR51" i="1" s="1"/>
  <c r="AS51" i="1" s="1"/>
  <c r="AQ185" i="1"/>
  <c r="AR185" i="1" s="1"/>
  <c r="AS185" i="1" s="1"/>
  <c r="AQ102" i="1"/>
  <c r="AR102" i="1" s="1"/>
  <c r="AS102" i="1" s="1"/>
  <c r="AQ97" i="1"/>
  <c r="AR97" i="1" s="1"/>
  <c r="AS97" i="1" s="1"/>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 i="7"/>
</calcChain>
</file>

<file path=xl/sharedStrings.xml><?xml version="1.0" encoding="utf-8"?>
<sst xmlns="http://schemas.openxmlformats.org/spreadsheetml/2006/main" count="7023" uniqueCount="762">
  <si>
    <t>Ticket No</t>
  </si>
  <si>
    <t>Created Date</t>
  </si>
  <si>
    <t>Created Time</t>
  </si>
  <si>
    <t>Assigned To</t>
  </si>
  <si>
    <t>Resolved Date</t>
  </si>
  <si>
    <t>Resolved Time</t>
  </si>
  <si>
    <t>Landing Folder</t>
  </si>
  <si>
    <t>Disposition Folder Level 1</t>
  </si>
  <si>
    <t>Disposition Folder Level 2</t>
  </si>
  <si>
    <t>Phone</t>
  </si>
  <si>
    <t>Email</t>
  </si>
  <si>
    <t>Ticket All Remarks</t>
  </si>
  <si>
    <t>Program Name</t>
  </si>
  <si>
    <t>Issue 2 - NPS</t>
  </si>
  <si>
    <t>NPS Rating</t>
  </si>
  <si>
    <t>Status</t>
  </si>
  <si>
    <t>Sub Status</t>
  </si>
  <si>
    <t>Mike Chen</t>
  </si>
  <si>
    <t>Counselling Team - NPS</t>
  </si>
  <si>
    <t>Tech (NPS)</t>
  </si>
  <si>
    <t>learner001@example.com</t>
  </si>
  <si>
    <t>No code review feedback provided for assignments. Submitting working solutions but don't know if following best practices or industry standards. || Resolution: Introduced mandatory code review sessions with senior developers</t>
  </si>
  <si>
    <t>Academy</t>
  </si>
  <si>
    <t>Projects &amp; Assignment Related Concern (NPS)</t>
  </si>
  <si>
    <t>Complete</t>
  </si>
  <si>
    <t>Solved</t>
  </si>
  <si>
    <t>David Wilson</t>
  </si>
  <si>
    <t>Program &amp; Classroom (NPS)</t>
  </si>
  <si>
    <t>learner002@example.com</t>
  </si>
  <si>
    <t>DSML</t>
  </si>
  <si>
    <t>Lisa Rodriguez</t>
  </si>
  <si>
    <t>learner003@example.com</t>
  </si>
  <si>
    <t>Assignment datasets have data quality issues but no guidance on how to handle missing values, outliers, or inconsistent formats professionally. || Resolution: Created data cleaning tutorial series and best practices documentation</t>
  </si>
  <si>
    <t>DevOps</t>
  </si>
  <si>
    <t>Pending</t>
  </si>
  <si>
    <t>In Progress</t>
  </si>
  <si>
    <t>Others (NPS)</t>
  </si>
  <si>
    <t>learner004@example.com</t>
  </si>
  <si>
    <t>Live sessions scheduled during US client calls for IT professionals. 2-6 PM IST overlaps with standup meetings and client presentations. Need flexible timing. || Resolution: Added recorded session options and weekend makeup classes</t>
  </si>
  <si>
    <t>Time Management Related Concerns (NPS)</t>
  </si>
  <si>
    <t>learner005@example.com</t>
  </si>
  <si>
    <t>Told course would take 6 months but curriculum actually requires 10+ months for completion. Time commitment significantly underestimated. || Resolution: Updated course duration estimates and provided realistic timeline planning</t>
  </si>
  <si>
    <t>False Promise By Sales Team (NPS)</t>
  </si>
  <si>
    <t>Sarah Johnson</t>
  </si>
  <si>
    <t>learner006@example.com</t>
  </si>
  <si>
    <t>Morning Academy Jul25 Intermediate (9 AM - 12 PM) conflicts with Infosys office hours. Requested evening transfer 5 times over 2 months but no response from counseling team. || Resolution: Immediately transferred to 7-10 PM evening Academy Jul25 Intermediate with same instructor</t>
  </si>
  <si>
    <t>Rohit Gupta</t>
  </si>
  <si>
    <t>learner007@example.com</t>
  </si>
  <si>
    <t>Carlos Martinez</t>
  </si>
  <si>
    <t>Placement (NPS)</t>
  </si>
  <si>
    <t>learner008@example.com</t>
  </si>
  <si>
    <t>Considering career break for higher studies (MS abroad). Need advice on timing, university selection, and maintaining professional network during studies. || Resolution: Provided comprehensive higher education guidance and alumni connections</t>
  </si>
  <si>
    <t>Looking For Career Guidance (NPS)</t>
  </si>
  <si>
    <t>learner009@example.com</t>
  </si>
  <si>
    <t>Sales promised 100% job guarantee within 6 months but placement team says no such commitment exists. Feel misled about course outcomes. || Resolution: Clarified placement support terms and provided additional career assistance</t>
  </si>
  <si>
    <t>Jessica Kim</t>
  </si>
  <si>
    <t>learner010@example.com</t>
  </si>
  <si>
    <t>DevOps AIML Jul25 has 220+ students making doubt sessions chaotic. Individual questions take 15+ minutes to address. Class extends to 4+ hours regularly. || Resolution: Split into 2 parallel AIML Jul25es and assigned dedicated TA support</t>
  </si>
  <si>
    <t>Sneha Reddy</t>
  </si>
  <si>
    <t>learner011@example.com</t>
  </si>
  <si>
    <t>Awaiting Action - Learner</t>
  </si>
  <si>
    <t>learner012@example.com</t>
  </si>
  <si>
    <t>Multiple TAs provide conflicting solutions for same problem. Creates confusion about best practices and correct approach for implementation. || Resolution: Implemented TA training program and standardized solution guidelines</t>
  </si>
  <si>
    <t>TA Support Related Concerns (NPS)</t>
  </si>
  <si>
    <t>learner013@example.com</t>
  </si>
  <si>
    <t>Placement eligibility criteria require 70%+ in graduation but scored 68% due to family financial crisis during college. Seems unfair exclusion. || Resolution: Reviewed eligibility criteria and created exception process for genuine hardship cases</t>
  </si>
  <si>
    <t>Not eligible for placements (NPS)</t>
  </si>
  <si>
    <t>Awaiting Action - Scaler</t>
  </si>
  <si>
    <t>learner014@example.com</t>
  </si>
  <si>
    <t>Interested in international opportunities but confused about visa processes, skill requirements, and cultural preparation for US/Canada markets. || Resolution: Connected with professionals who successfully relocated internationally</t>
  </si>
  <si>
    <t>learner015@example.com</t>
  </si>
  <si>
    <t>Instructor David Wilson Rajesh Kumar in AIML Jul25 AIML Jul25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t>
  </si>
  <si>
    <t>Instructor Related Feedback (NPS)</t>
  </si>
  <si>
    <t>learner016@example.com</t>
  </si>
  <si>
    <t>learner017@example.com</t>
  </si>
  <si>
    <t>Evening Academy Jul25 Beginner starts at 7 PM when dinner time with family. Work-life balance getting affected due to late learning schedule. || Resolution: Introduced early evening slots (6-8 PM) based on demand</t>
  </si>
  <si>
    <t>Unhappy With The Class Timings (NPS)</t>
  </si>
  <si>
    <t>learner018@example.com</t>
  </si>
  <si>
    <t>Amit Patel</t>
  </si>
  <si>
    <t>learner019@example.com</t>
  </si>
  <si>
    <t>Planning to relocate from Bangalore to Pune for family reasons. Unclear about job market, salary differences, and Google options in Pune tech scene. || Resolution: Connected with local Pune-based mentors and provided market insights</t>
  </si>
  <si>
    <t>learner020@example.com</t>
  </si>
  <si>
    <t>AIML</t>
  </si>
  <si>
    <t>learner021@example.com</t>
  </si>
  <si>
    <t>learner022@example.com</t>
  </si>
  <si>
    <t>Multiple interview rounds cleared but final selection goes to internal referrals. External candidates seem disadvantaged despite equal performance. || Resolution: Expanded alumni network for referral opportunities and insider advocacy</t>
  </si>
  <si>
    <t>Applied for jobs but no satisfactory outcome (NPS)</t>
  </si>
  <si>
    <t>learner023@example.com</t>
  </si>
  <si>
    <t>learner024@example.com</t>
  </si>
  <si>
    <t>Weekend DevOps Jul25 timing (10 AM - 2 PM) conflicts with family time. Children's activities and household responsibilities suffer due to class schedule. || Resolution: Created flexible weekend options with shorter session formats</t>
  </si>
  <si>
    <t>learner025@example.com</t>
  </si>
  <si>
    <t>Language barrier with some TAs makes doubt sessions ineffective. Accent and communication style difficult to understand during technical explanations. || Resolution: Provided communication training and paired TAs with complementary strengths</t>
  </si>
  <si>
    <t>learner026@example.com</t>
  </si>
  <si>
    <t>Mentor Amit Patel provides only generic advice like 'practice more coding'. Asked specific questions about Google interview process but got template responses. || Resolution: Connected with mentor who recently joined FAANG Uber</t>
  </si>
  <si>
    <t>Mentor Support Related Concerns (NPS)</t>
  </si>
  <si>
    <t>Priya Sharma</t>
  </si>
  <si>
    <t>learner027@example.com</t>
  </si>
  <si>
    <t>learner028@example.com</t>
  </si>
  <si>
    <t>Real-time project deployment challenges not addressed in curriculum. Local development works but AWS deployment fails with configuration issues. || Resolution: Created deployment workshop series with hands-on troubleshooting</t>
  </si>
  <si>
    <t>learner029@example.com</t>
  </si>
  <si>
    <t>learner030@example.com</t>
  </si>
  <si>
    <t>Overqualified for junior positions, underqualified for senior roles. 6 years in different domain creates positioning challenge for appropriate level targeting. || Resolution: Developed targeted application strategy for career pivot roles</t>
  </si>
  <si>
    <t>Frequent Resume Rejection (NPS)</t>
  </si>
  <si>
    <t>learner031@example.com</t>
  </si>
  <si>
    <t>Mike Wilson uses outdated examples in Machine Learning classes. Still teaching scikit-learn 0.22 syntax when industry uses 1.3+. Students struggle with modern ML libraries. || Resolution: Updated all code examples to latest library versions</t>
  </si>
  <si>
    <t>learner032@example.com</t>
  </si>
  <si>
    <t>Want to transition from service-based to product companies but don't understand cultural and technical differences. Need guidance on preparation strategy. || Resolution: Connected with mentor who made similar transition and provided Amazon-specific prep</t>
  </si>
  <si>
    <t>learner033@example.com</t>
  </si>
  <si>
    <t>learner034@example.com</t>
  </si>
  <si>
    <t>No specialized TA support for advanced topics like deep learning, cloud architecture, or system design. Generic responses for complex domain questions. || Resolution: Hired subject matter expert TAs for specialized technical support</t>
  </si>
  <si>
    <t>learner035@example.com</t>
  </si>
  <si>
    <t>Mentor Amit Patel provides only generic advice like 'practice more coding'. Asked specific questions about Google interview process but got template responses. || Resolution: Connected with mentor who recently joined FAANG TCS</t>
  </si>
  <si>
    <t>learner036@example.com</t>
  </si>
  <si>
    <t>Python assignment auto-grading system has bugs. Correct solutions marked wrong due to output formatting differences. Frustrating when code logic is perfect. || Resolution: Fixed grading system and manually reviewed affected submissions</t>
  </si>
  <si>
    <t>learner037@example.com</t>
  </si>
  <si>
    <t>Lecture slides contain only bullet points without detailed explanations. Need comprehensive notes for exam preparation and interview revision. || Resolution: Enhanced slides with detailed explanations and examples</t>
  </si>
  <si>
    <t>Lecture Notes Related (NPS)</t>
  </si>
  <si>
    <t>learner038@example.com</t>
  </si>
  <si>
    <t>learner039@example.com</t>
  </si>
  <si>
    <t>No downloadable notes provided for complex topics. Difficult to review mathematical formulas and algorithms without written reference material. || Resolution: Created comprehensive downloadable study guides for all modules</t>
  </si>
  <si>
    <t>learner040@example.com</t>
  </si>
  <si>
    <t>Evening DSML Jul25 starts at 7 PM when dinner time with family. Work-life balance getting affected due to late learning schedule. || Resolution: Introduced early evening slots (6-8 PM) based on demand</t>
  </si>
  <si>
    <t>learner041@example.com</t>
  </si>
  <si>
    <t>Weekend Academy Jul25 Intermediate timing (10 AM - 2 PM) conflicts with family time. Children's activities and household responsibilities suffer due to class schedule. || Resolution: Created flexible weekend options with shorter session formats</t>
  </si>
  <si>
    <t>learner042@example.com</t>
  </si>
  <si>
    <t>Contract/freelance offers available but seeking permanent positions with benefits and job security. Market seems tilted toward gig work. || Resolution: Targeted BYJU'S outreach focusing on full-time opportunity pipeline</t>
  </si>
  <si>
    <t>learner043@example.com</t>
  </si>
  <si>
    <t>learner044@example.com</t>
  </si>
  <si>
    <t>learner045@example.com</t>
  </si>
  <si>
    <t>Instructor Nina Patel Rajesh Kumar in AIML Jul25 DevOps Jul25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t>
  </si>
  <si>
    <t>learner046@example.com</t>
  </si>
  <si>
    <t>learner047@example.com</t>
  </si>
  <si>
    <t>Assignment deadlines clash with office project deliveries. Given 3 major assignments during typical sprint planning weeks. Need better coordination. || Resolution: Staggered assignment deadlines and provided extension options</t>
  </si>
  <si>
    <t>learner048@example.com</t>
  </si>
  <si>
    <t>learner049@example.com</t>
  </si>
  <si>
    <t>Lisa Rodriguez speaks too softly during System Design sessions. Students in back rows can't hear database scaling explanations. Room acoustics poor for 150+ student Academy Jul25 Intermediate. || Resolution: Upgraded classroom sound system and reduced Academy Jul25 Intermediate size</t>
  </si>
  <si>
    <t>learner050@example.com</t>
  </si>
  <si>
    <t>Teaching Assistant lacks depth in advanced topics. Can help with basic syntax but struggles with algorithm optimization and complexity analysis questions. || Resolution: Assigned senior TA with computer science background for advanced topic support</t>
  </si>
  <si>
    <t>learner051@example.com</t>
  </si>
  <si>
    <t>Project complexity too high for time allocated. Expected to build full e-commerce site in 2 weeks while learning React simultaneously. Unrealistic expectations. || Resolution: Redesigned project scope and extended timeline with milestone-based approach</t>
  </si>
  <si>
    <t>learner052@example.com</t>
  </si>
  <si>
    <t>Machine Learning module lacks MLOps content. No coverage of model deployment, monitoring, or A/B testing. Industry expects end-to-end ML pipeline knowledge. || Resolution: Adding MLOps specialization track with hands-on deployment projects</t>
  </si>
  <si>
    <t>Unhappy With Course Curriculum (NPS)</t>
  </si>
  <si>
    <t>learner053@example.com</t>
  </si>
  <si>
    <t>learner054@example.com</t>
  </si>
  <si>
    <t>Confused between Data Science and Machine Learning Engineer paths. Course covers both but unclear about day-to-day responsibilities and career progression in each field. || Resolution: Arranged informational interviews with professionals in both roles</t>
  </si>
  <si>
    <t>learner055@example.com</t>
  </si>
  <si>
    <t>Interview performance good but companies prefer candidates with production experience. Theoretical knowledge not translating to confidence in interviews. || Resolution: Created mock production environment projects for hands-on experience</t>
  </si>
  <si>
    <t>learner056@example.com</t>
  </si>
  <si>
    <t>learner057@example.com</t>
  </si>
  <si>
    <t>Evening DevOps Jul25 starts at 7 PM when dinner time with family. Work-life balance getting affected due to late learning schedule. || Resolution: Introduced early evening slots (6-8 PM) based on demand</t>
  </si>
  <si>
    <t>learner058@example.com</t>
  </si>
  <si>
    <t>Resume feedback too generic. Mentor suggests 'add more projects' without specific guidance on what types of projects or how to showcase impact. || Resolution: Provided mentor training on detailed resume optimization techniques</t>
  </si>
  <si>
    <t>learner059@example.com</t>
  </si>
  <si>
    <t>learner060@example.com</t>
  </si>
  <si>
    <t>Resume format doesn't work for startup applications. Too formal for young companies, but changing format affects ATS performance at large corporations. || Resolution: Created dual resume strategy for different TCS types</t>
  </si>
  <si>
    <t>learner061@example.com</t>
  </si>
  <si>
    <t>learner062@example.com</t>
  </si>
  <si>
    <t>learner063@example.com</t>
  </si>
  <si>
    <t>Career gap of 18 months for personal reasons creating red flags. Recruiters question commitment and skill currency despite recent course completion. || Resolution: Developed gap explanation strategy and skill demonstration projects</t>
  </si>
  <si>
    <t>learner064@example.com</t>
  </si>
  <si>
    <t>learner065@example.com</t>
  </si>
  <si>
    <t>Career guidance sessions focus only on technical skills. No discussion about salary negotiation, Uber culture fit, or work-life balance considerations. || Resolution: Introduced holistic career coaching covering all professional aspects</t>
  </si>
  <si>
    <t>learner066@example.com</t>
  </si>
  <si>
    <t>learner067@example.com</t>
  </si>
  <si>
    <t>Capstone project requirements unclear and keep changing. Initially asked for web app, then data analysis, now ML model. Wasted 3 weeks on wrong direction. || Resolution: Standardized project requirements and assigned dedicated project coordinator</t>
  </si>
  <si>
    <t>learner068@example.com</t>
  </si>
  <si>
    <t>Full Stack development track doesn't cover modern React patterns like hooks, context, or Next.js. Still teaching class components from React 16. || Resolution: Complete overhaul of React curriculum to cover React 18 features</t>
  </si>
  <si>
    <t>learner069@example.com</t>
  </si>
  <si>
    <t>learner070@example.com</t>
  </si>
  <si>
    <t>Placement support limited to specific tech stacks learned in course. Want to explore adjacent technologies but placement team won't help. || Resolution: Expanded placement support to cover related MongoDB transitions</t>
  </si>
  <si>
    <t>learner071@example.com</t>
  </si>
  <si>
    <t>Instructor Mike Rodriguez Rajesh Kumar in AIML Jul25 Academy Jul25 Intermediate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t>
  </si>
  <si>
    <t>learner072@example.com</t>
  </si>
  <si>
    <t>TA support only available during office hours. Working professionals need evening and weekend support for assignment debugging and concept clarification. || Resolution: Extended TA support hours to include evenings and Saturday coverage</t>
  </si>
  <si>
    <t>learner073@example.com</t>
  </si>
  <si>
    <t>learner074@example.com</t>
  </si>
  <si>
    <t>Resume highlighting DSML completion not attracting ML Engineer positions. Only getting data entry or analyst roles below skill level and salary expectations. || Resolution: Added ML portfolio projects and technical blog writing to demonstrate expertise</t>
  </si>
  <si>
    <t>learner075@example.com</t>
  </si>
  <si>
    <t>learner076@example.com</t>
  </si>
  <si>
    <t>Mentor scheduling conflicts with work hours. Only available 11 AM - 2 PM when I'm in office meetings. Need evening or weekend availability. || Resolution: Matched with mentor having flexible evening availability</t>
  </si>
  <si>
    <t>learner077@example.com</t>
  </si>
  <si>
    <t>learner078@example.com</t>
  </si>
  <si>
    <t>learner079@example.com</t>
  </si>
  <si>
    <t>Getting interview calls but salary offers 40% below market rate. Companies lowball citing 'career change' despite strong technical performance. || Resolution: Provided salary negotiation training and market benchmarking data</t>
  </si>
  <si>
    <t>learner080@example.com</t>
  </si>
  <si>
    <t>learner081@example.com</t>
  </si>
  <si>
    <t>Interested in startup environment but concerned about job security with family responsibilities. Need advice on evaluating startup opportunities vs established companies. || Resolution: Conducted detailed career counseling session on risk assessment and planning</t>
  </si>
  <si>
    <t>learner082@example.com</t>
  </si>
  <si>
    <t>Evening AIML Aug25 starts at 7 PM when dinner time with family. Work-life balance getting affected due to late learning schedule. || Resolution: Introduced early evening slots (6-8 PM) based on demand</t>
  </si>
  <si>
    <t>learner083@example.com</t>
  </si>
  <si>
    <t>Appearing for interviews but consistently failing in system design rounds. Completed course but still struggle with scalability and architecture questions. || Resolution: Arranged advanced system design workshops with industry architects</t>
  </si>
  <si>
    <t>learner084@example.com</t>
  </si>
  <si>
    <t>Want to transition from service-based to product companies but don't understand cultural and technical differences. Need guidance on preparation strategy. || Resolution: Connected with mentor who made similar transition and provided Zomato-specific prep</t>
  </si>
  <si>
    <t>learner085@example.com</t>
  </si>
  <si>
    <t>Applied to 67 Data Science positions in 3 months but only 4 interview calls. Resume seems to fail ATS screening despite following Scaler format guidelines. || Resolution: Connected with placement team for ATS optimization and keyword analysis</t>
  </si>
  <si>
    <t>learner086@example.com</t>
  </si>
  <si>
    <t>Holiday classes scheduled during Diwali week without considering festival commitments. Attendance drops to 30% affecting AIML Jul25 momentum. || Resolution: Rescheduled holiday periods and created festival-friendly calendar</t>
  </si>
  <si>
    <t>learner087@example.com</t>
  </si>
  <si>
    <t>learner088@example.com</t>
  </si>
  <si>
    <t>Holiday classes scheduled during Diwali week without considering festival commitments. Attendance drops to 30% affecting DevOps Jul25 momentum. || Resolution: Rescheduled holiday periods and created festival-friendly calendar</t>
  </si>
  <si>
    <t>learner089@example.com</t>
  </si>
  <si>
    <t>Audio-video sync issues during recorded playback. Instructor Lisa Chen's voice doesn't match lip movement by 2-3 seconds. Distracting during learning. || Resolution: Fixed encoding pipeline and re-processed affected recordings</t>
  </si>
  <si>
    <t>Poor Class video quality (NPS)</t>
  </si>
  <si>
    <t>learner090@example.com</t>
  </si>
  <si>
    <t>Audio-video sync issues during recorded playback. Instructor Mike Rodriguez's voice doesn't match lip movement by 2-3 seconds. Distracting during learning. || Resolution: Fixed encoding pipeline and re-processed affected recordings</t>
  </si>
  <si>
    <t>learner091@example.com</t>
  </si>
  <si>
    <t>learner092@example.com</t>
  </si>
  <si>
    <t>Applied to 43 DevOps positions but recruiters say experience looks theoretical. Need real production environment projects to demonstrate practical skills. || Resolution: Arranged internship-style capstone project with live infrastructure</t>
  </si>
  <si>
    <t>learner093@example.com</t>
  </si>
  <si>
    <t>System Design course only teaches monolithic patterns. Microservices, event-driven architecture, and serverless barely mentioned. Need cloud-native design patterns. || Resolution: Expanding curriculum with 40 hours of distributed systems content</t>
  </si>
  <si>
    <t>learner094@example.com</t>
  </si>
  <si>
    <t>learner095@example.com</t>
  </si>
  <si>
    <t>learner096@example.com</t>
  </si>
  <si>
    <t>Audio-video sync issues during recorded playback. Instructor Priya Patel's voice doesn't match lip movement by 2-3 seconds. Distracting during learning. || Resolution: Fixed encoding pipeline and re-processed affected recordings</t>
  </si>
  <si>
    <t>learner097@example.com</t>
  </si>
  <si>
    <t>Planning to relocate from Bangalore to Pune for family reasons. Unclear about job market, salary differences, and Zomato options in Pune tech scene. || Resolution: Connected with local Pune-based mentors and provided market insights</t>
  </si>
  <si>
    <t>learner098@example.com</t>
  </si>
  <si>
    <t>Placement team requires 2+ years experience but won't help freshers. Catch-22 situation where experience needed for placement but placement needed for experience. || Resolution: Launched fresh graduate placement track with entry-level focused companies</t>
  </si>
  <si>
    <t>learner099@example.com</t>
  </si>
  <si>
    <t>Screen sharing resolution too low during coding sessions. Can't read code examples on mobile device. Zoom compression makes text blurry. || Resolution: Upgraded streaming quality to 1080p and optimized for mobile viewing</t>
  </si>
  <si>
    <t>learner100@example.com</t>
  </si>
  <si>
    <t>learner101@example.com</t>
  </si>
  <si>
    <t>learner102@example.com</t>
  </si>
  <si>
    <t>Weekly mentor sessions rushed and superficial. Last call was 8 minutes discussing 6-month career roadmap. Need dedicated time for meaningful guidance. || Resolution: Increased minimum session duration to 30 minutes with structured agenda</t>
  </si>
  <si>
    <t>learner103@example.com</t>
  </si>
  <si>
    <t>Mentor doesn't understand non-tech background. As commerce graduate transitioning to data science, need someone who understands career pivot challenges. || Resolution: Assigned mentor with similar career transition background</t>
  </si>
  <si>
    <t>learner104@example.com</t>
  </si>
  <si>
    <t>learner105@example.com</t>
  </si>
  <si>
    <t>Weekend AIML sessions run 5 hours straight (10 AM - 3 PM) without proper breaks. Exhausting for working parents with family commitments on weekends. || Resolution: Restructured to 3-hour sessions with 30-minute breaks every 90 minutes</t>
  </si>
  <si>
    <t>learner106@example.com</t>
  </si>
  <si>
    <t>learner107@example.com</t>
  </si>
  <si>
    <t>learner108@example.com</t>
  </si>
  <si>
    <t>Assigned mentor Priya Sharma unresponsive to career queries for 3+ weeks. Sent 7 messages about transitioning from manual testing to automation but zero replies. || Resolution: Reassigned to senior automation mentor and implemented response time SLA</t>
  </si>
  <si>
    <t>learner109@example.com</t>
  </si>
  <si>
    <t>Mentor calls scheduled during lunch hours (1-2 PM) when most professionals are in meetings. Need evening or early morning slots. || Resolution: Extended mentor availability to 7-9 PM weekday slots</t>
  </si>
  <si>
    <t>learner110@example.com</t>
  </si>
  <si>
    <t>Holiday classes scheduled during Diwali week without considering festival commitments. Attendance drops to 30% affecting DevOps Aug25 momentum. || Resolution: Rescheduled holiday periods and created festival-friendly calendar</t>
  </si>
  <si>
    <t>learner111@example.com</t>
  </si>
  <si>
    <t>Career guidance sessions focus only on technical skills. No discussion about salary negotiation, Ola culture fit, or work-life balance considerations. || Resolution: Introduced holistic career coaching covering all professional aspects</t>
  </si>
  <si>
    <t>learner112@example.com</t>
  </si>
  <si>
    <t>learner113@example.com</t>
  </si>
  <si>
    <t>learner114@example.com</t>
  </si>
  <si>
    <t>learner115@example.com</t>
  </si>
  <si>
    <t>Previous employment gap of 3 years due to child care responsibilities creates placement barrier. Returning mothers face additional discrimination. || Resolution: Partnered with diversity-focused companies supporting career restart initiatives</t>
  </si>
  <si>
    <t>learner116@example.com</t>
  </si>
  <si>
    <t>Evening Academy Jul25 Intermediate starts at 7 PM when dinner time with family. Work-life balance getting affected due to late learning schedule. || Resolution: Introduced early evening slots (6-8 PM) based on demand</t>
  </si>
  <si>
    <t>learner117@example.com</t>
  </si>
  <si>
    <t>Holiday classes scheduled during Diwali week without considering festival commitments. Attendance drops to 30% affecting Academy Jul25 Beginner momentum. || Resolution: Rescheduled holiday periods and created festival-friendly calendar</t>
  </si>
  <si>
    <t>learner118@example.com</t>
  </si>
  <si>
    <t>learner119@example.com</t>
  </si>
  <si>
    <t>Considering freelancing transition after 8 years in corporate. Need guidance on building client base, pricing projects, and managing business aspects. || Resolution: Introduced to successful freelancer mentor and provided business setup guidance</t>
  </si>
  <si>
    <t>learner120@example.com</t>
  </si>
  <si>
    <t>Weekend AIML Aug25 timing (10 AM - 2 PM) conflicts with family time. Children's activities and household responsibilities suffer due to class schedule. || Resolution: Created flexible weekend options with shorter session formats</t>
  </si>
  <si>
    <t>learner121@example.com</t>
  </si>
  <si>
    <t>learner122@example.com</t>
  </si>
  <si>
    <t>learner123@example.com</t>
  </si>
  <si>
    <t>learner124@example.com</t>
  </si>
  <si>
    <t>Weekend DSML Aug25 timing (10 AM - 2 PM) conflicts with family time. Children's activities and household responsibilities suffer due to class schedule. || Resolution: Created flexible weekend options with shorter session formats</t>
  </si>
  <si>
    <t>learner125@example.com</t>
  </si>
  <si>
    <t>learner126@example.com</t>
  </si>
  <si>
    <t>Contract/freelance offers available but seeking permanent positions with benefits and job security. Market seems tilted toward gig work. || Resolution: Targeted Microsoft outreach focusing on full-time opportunity pipeline</t>
  </si>
  <si>
    <t>learner127@example.com</t>
  </si>
  <si>
    <t>Teaching pace in Data Structures class is inconsistent. Some days covers 3 algorithms, other days struggles with basic concepts. No structured lesson planning visible. || Resolution: Introduced standardized lesson plans with time allocations</t>
  </si>
  <si>
    <t>learner128@example.com</t>
  </si>
  <si>
    <t>Want to pursue management track vs staying technical. Currently team lead but unsure about MBA requirements and career progression options. || Resolution: Arranged sessions with both technical architects and engineering managers</t>
  </si>
  <si>
    <t>learner129@example.com</t>
  </si>
  <si>
    <t>Audio-video sync issues during recorded playback. Instructor Ravi Sharma's voice doesn't match lip movement by 2-3 seconds. Distracting during learning. || Resolution: Fixed encoding pipeline and re-processed affected recordings</t>
  </si>
  <si>
    <t>learner130@example.com</t>
  </si>
  <si>
    <t>Instructor Amit Gupta Amit Gupta doesn't prepare well for classes. Frequently says 'I'll get back to you' for basic SQL queries. Students lose confidence in course quality. || Resolution: Implemented mandatory instructor preparation reviews</t>
  </si>
  <si>
    <t>learner131@example.com</t>
  </si>
  <si>
    <t>Transitioning from mechanical engineering to software development. Resume lacks relevant projects and recruiters doubt career change authenticity. || Resolution: Created transition portfolio with domain-crossover projects</t>
  </si>
  <si>
    <t>learner132@example.com</t>
  </si>
  <si>
    <t>learner133@example.com</t>
  </si>
  <si>
    <t>learner134@example.com</t>
  </si>
  <si>
    <t>learner135@example.com</t>
  </si>
  <si>
    <t>learner136@example.com</t>
  </si>
  <si>
    <t>learner137@example.com</t>
  </si>
  <si>
    <t>learner138@example.com</t>
  </si>
  <si>
    <t>learner139@example.com</t>
  </si>
  <si>
    <t>learner140@example.com</t>
  </si>
  <si>
    <t>learner141@example.com</t>
  </si>
  <si>
    <t>learner142@example.com</t>
  </si>
  <si>
    <t>learner143@example.com</t>
  </si>
  <si>
    <t>learner144@example.com</t>
  </si>
  <si>
    <t>Mentor Amit Patel provides only generic advice like 'practice more coding'. Asked specific questions about Google interview process but got template responses. || Resolution: Connected with mentor who recently joined FAANG PayTM</t>
  </si>
  <si>
    <t>learner145@example.com</t>
  </si>
  <si>
    <t>Audio-video sync issues during recorded playback. Instructor Sarah Johnson's voice doesn't match lip movement by 2-3 seconds. Distracting during learning. || Resolution: Fixed encoding pipeline and re-processed affected recordings</t>
  </si>
  <si>
    <t>learner146@example.com</t>
  </si>
  <si>
    <t>learner147@example.com</t>
  </si>
  <si>
    <t>DSML curriculum still uses Pandas 1.3 when industry standard is 2.1+. Modern data manipulation techniques like polars not covered. Outdated for current job requirements. || Resolution: Curriculum team updating all library versions and adding modern tools</t>
  </si>
  <si>
    <t>learner148@example.com</t>
  </si>
  <si>
    <t>learner149@example.com</t>
  </si>
  <si>
    <t>learner150@example.com</t>
  </si>
  <si>
    <t>learner151@example.com</t>
  </si>
  <si>
    <t>learner152@example.com</t>
  </si>
  <si>
    <t>learner153@example.com</t>
  </si>
  <si>
    <t>Contract/freelance offers available but seeking permanent positions with benefits and job security. Market seems tilted toward gig work. || Resolution: Targeted Infosys outreach focusing on full-time opportunity pipeline</t>
  </si>
  <si>
    <t>learner154@example.com</t>
  </si>
  <si>
    <t>learner155@example.com</t>
  </si>
  <si>
    <t>learner156@example.com</t>
  </si>
  <si>
    <t>Academy Python track missing async programming, type hints, and dataclasses. These are mandatory for senior roles at Google, Microsoft, Meta. Current content feels like 2020 curriculum. || Resolution: Added advanced Python module covering modern language features</t>
  </si>
  <si>
    <t>learner157@example.com</t>
  </si>
  <si>
    <t>DevOps curriculum missing GitOps, service mesh, and observability tools. Only covers basic Docker and Jenkins. Modern DevOps uses ArgoCD, Istio, Prometheus. || Resolution: Updated DevOps track with cloud-native toolchain coverage</t>
  </si>
  <si>
    <t>learner158@example.com</t>
  </si>
  <si>
    <t>learner159@example.com</t>
  </si>
  <si>
    <t>Career guidance sessions focus only on technical skills. No discussion about salary negotiation, PayTM culture fit, or work-life balance considerations. || Resolution: Introduced holistic career coaching covering all professional aspects</t>
  </si>
  <si>
    <t>learner160@example.com</t>
  </si>
  <si>
    <t>Audio-video sync issues during recorded playback. Instructor Nina Patel's voice doesn't match lip movement by 2-3 seconds. Distracting during learning. || Resolution: Fixed encoding pipeline and re-processed affected recordings</t>
  </si>
  <si>
    <t>learner161@example.com</t>
  </si>
  <si>
    <t>learner162@example.com</t>
  </si>
  <si>
    <t>learner163@example.com</t>
  </si>
  <si>
    <t>Geographic restrictions limiting opportunities. Family commitments require staying in Tier-2 city but most opportunities in Bangalore/Hyderabad. || Resolution: Focused on remote opportunities and companies with distributed teams</t>
  </si>
  <si>
    <t>learner164@example.com</t>
  </si>
  <si>
    <t>learner165@example.com</t>
  </si>
  <si>
    <t>learner166@example.com</t>
  </si>
  <si>
    <t>learner167@example.com</t>
  </si>
  <si>
    <t>learner168@example.com</t>
  </si>
  <si>
    <t>learner169@example.com</t>
  </si>
  <si>
    <t>Assignment instructions assume prior knowledge not covered in lectures. Database project requires PostgreSQL when only MySQL was taught in class. || Resolution: Added prerequisite tutorials and Azure setup guides</t>
  </si>
  <si>
    <t>learner170@example.com</t>
  </si>
  <si>
    <t>learner171@example.com</t>
  </si>
  <si>
    <t>Clearing technical rounds but failing in cultural fit assessments. Companies say not aligned with startup pace or collaborative work style. || Resolution: Added soft skills training and Swiggy culture preparation sessions</t>
  </si>
  <si>
    <t>learner172@example.com</t>
  </si>
  <si>
    <t>TA Rohit takes 2-3 days to respond to doubt resolution requests. Critical errors in assignments go unresolved, affecting submission deadlines. || Resolution: Implemented 24-hour response SLA for TAs and hired additional support staff</t>
  </si>
  <si>
    <t>learner173@example.com</t>
  </si>
  <si>
    <t>learner174@example.com</t>
  </si>
  <si>
    <t>Mock interview sessions lack depth. Mentor asks basic questions without simulating real interview pressure or providing improvement feedback. || Resolution: Upgraded to senior mentor with interviewing experience at target companies</t>
  </si>
  <si>
    <t>learner175@example.com</t>
  </si>
  <si>
    <t>learner176@example.com</t>
  </si>
  <si>
    <t>learner177@example.com</t>
  </si>
  <si>
    <t>learner178@example.com</t>
  </si>
  <si>
    <t>learner179@example.com</t>
  </si>
  <si>
    <t>learner180@example.com</t>
  </si>
  <si>
    <t>Job offers coming from service companies but goal is product companies. Unable to break into companies like Flipkart, Swiggy, or Zomato despite preparation. || Resolution: Connected with product Uber employees for referrals and insider insights</t>
  </si>
  <si>
    <t>learner181@example.com</t>
  </si>
  <si>
    <t>learner182@example.com</t>
  </si>
  <si>
    <t>learner183@example.com</t>
  </si>
  <si>
    <t>learner184@example.com</t>
  </si>
  <si>
    <t>learner185@example.com</t>
  </si>
  <si>
    <t>Weekend Academy Jul25 Beginner timing (10 AM - 2 PM) conflicts with family time. Children's activities and household responsibilities suffer due to class schedule. || Resolution: Created flexible weekend options with shorter session formats</t>
  </si>
  <si>
    <t>learner186@example.com</t>
  </si>
  <si>
    <t>Planning to relocate from Bangalore to Pune for family reasons. Unclear about job market, salary differences, and Ola options in Pune tech scene. || Resolution: Connected with local Pune-based mentors and provided market insights</t>
  </si>
  <si>
    <t>learner187@example.com</t>
  </si>
  <si>
    <t>learner188@example.com</t>
  </si>
  <si>
    <t>Background verification issues due to previous Microsoft closure. Documentation unavailable but work experience legitimate and verifiable through colleagues. || Resolution: Created alternative verification process using professional references</t>
  </si>
  <si>
    <t>learner189@example.com</t>
  </si>
  <si>
    <t>learner190@example.com</t>
  </si>
  <si>
    <t>Priya Patel rushes through Python concepts without checking student understanding. Covers list comprehensions, decorators, and generators in single session. No time for practice exercises. || Resolution: Restructured curriculum to allocate more time per concept</t>
  </si>
  <si>
    <t>learner191@example.com</t>
  </si>
  <si>
    <t>learner192@example.com</t>
  </si>
  <si>
    <t>learner193@example.com</t>
  </si>
  <si>
    <t>Academy DevOps Aug25 timing changes announced with 1-day notice. Difficult to reschedule work meetings and personal commitments on short notice. || Resolution: Implemented 1-week advance notice policy for any schedule changes</t>
  </si>
  <si>
    <t>learner194@example.com</t>
  </si>
  <si>
    <t>learner195@example.com</t>
  </si>
  <si>
    <t>learner196@example.com</t>
  </si>
  <si>
    <t>learner197@example.com</t>
  </si>
  <si>
    <t>learner198@example.com</t>
  </si>
  <si>
    <t>Group project team members unresponsive and not contributing equally. Carrying entire workload solo while others get same grades. Need individual assessment. || Resolution: Implemented peer evaluation system and individual contribution tracking</t>
  </si>
  <si>
    <t>learner199@example.com</t>
  </si>
  <si>
    <t>learner200@example.com</t>
  </si>
  <si>
    <t>learner201@example.com</t>
  </si>
  <si>
    <t>learner202@example.com</t>
  </si>
  <si>
    <t>learner203@example.com</t>
  </si>
  <si>
    <t>Instructor Nina Patel David Chen frequently cancels AWS sessions due to health issues. This month: 5 out of 8 scheduled classes cancelled. Students falling behind on cloud certification timeline. || Resolution: Assigned backup instructor and provided comprehensive recorded sessions</t>
  </si>
  <si>
    <t>learner204@example.com</t>
  </si>
  <si>
    <t>Evening AIML Jul25 starts at 7 PM when dinner time with family. Work-life balance getting affected due to late learning schedule. || Resolution: Introduced early evening slots (6-8 PM) based on demand</t>
  </si>
  <si>
    <t>learner205@example.com</t>
  </si>
  <si>
    <t>Resume format doesn't work for startup applications. Too formal for young companies, but changing format affects ATS performance at large corporations. || Resolution: Created dual resume strategy for different Wipro types</t>
  </si>
  <si>
    <t>learner206@example.com</t>
  </si>
  <si>
    <t>learner207@example.com</t>
  </si>
  <si>
    <t>learner208@example.com</t>
  </si>
  <si>
    <t>learner209@example.com</t>
  </si>
  <si>
    <t>learner210@example.com</t>
  </si>
  <si>
    <t>Sarah Johnson teaching DevOps has microphone issues every class. Voice cuts out during Docker explanations, students miss critical commands. Reported 4 times this month, still not fixed. || Resolution: Technical team replaced instructor's audio equipment immediately</t>
  </si>
  <si>
    <t>learner211@example.com</t>
  </si>
  <si>
    <t>learner212@example.com</t>
  </si>
  <si>
    <t>learner213@example.com</t>
  </si>
  <si>
    <t>learner214@example.com</t>
  </si>
  <si>
    <t>learner215@example.com</t>
  </si>
  <si>
    <t>learner216@example.com</t>
  </si>
  <si>
    <t>learner217@example.com</t>
  </si>
  <si>
    <t>learner218@example.com</t>
  </si>
  <si>
    <t>learner219@example.com</t>
  </si>
  <si>
    <t>learner220@example.com</t>
  </si>
  <si>
    <t>learner221@example.com</t>
  </si>
  <si>
    <t>learner222@example.com</t>
  </si>
  <si>
    <t>learner223@example.com</t>
  </si>
  <si>
    <t>learner224@example.com</t>
  </si>
  <si>
    <t>learner225@example.com</t>
  </si>
  <si>
    <t>Resume format doesn't work for startup applications. Too formal for young companies, but changing format affects ATS performance at large corporations. || Resolution: Created dual resume strategy for different Flipkart types</t>
  </si>
  <si>
    <t>Row Labels</t>
  </si>
  <si>
    <t>Grand Total</t>
  </si>
  <si>
    <t>Column Labels</t>
  </si>
  <si>
    <t>Count of Ticket No</t>
  </si>
  <si>
    <t>resolved_date</t>
  </si>
  <si>
    <t xml:space="preserve">status </t>
  </si>
  <si>
    <t xml:space="preserve">sub status </t>
  </si>
  <si>
    <t>non_blank</t>
  </si>
  <si>
    <t>solved</t>
  </si>
  <si>
    <t>Blank</t>
  </si>
  <si>
    <t xml:space="preserve">complete </t>
  </si>
  <si>
    <t xml:space="preserve">any </t>
  </si>
  <si>
    <t>"date_absent"</t>
  </si>
  <si>
    <t>old</t>
  </si>
  <si>
    <t>new</t>
  </si>
  <si>
    <t>any</t>
  </si>
  <si>
    <t xml:space="preserve">pending </t>
  </si>
  <si>
    <t>blank</t>
  </si>
  <si>
    <t xml:space="preserve">Blank </t>
  </si>
  <si>
    <t xml:space="preserve">blank </t>
  </si>
  <si>
    <t>NEW_RD</t>
  </si>
  <si>
    <t>NEW_STATUS</t>
  </si>
  <si>
    <t>NEW_SS</t>
  </si>
  <si>
    <t/>
  </si>
  <si>
    <t>SOLVED_BUT_DNP</t>
  </si>
  <si>
    <t>Column Name</t>
  </si>
  <si>
    <t>Suggested Data Type</t>
  </si>
  <si>
    <t>Notes / Reasoning</t>
  </si>
  <si>
    <t>Ticket_No</t>
  </si>
  <si>
    <t>BIGINT / VARCHAR(20)</t>
  </si>
  <si>
    <t>Ticket numbers can be numeric, but storing as string avoids losing leading zeros.</t>
  </si>
  <si>
    <t>Created_Date</t>
  </si>
  <si>
    <t>DATE</t>
  </si>
  <si>
    <t>Stores the creation date of the ticket.</t>
  </si>
  <si>
    <t>Created_Time</t>
  </si>
  <si>
    <t>TIME</t>
  </si>
  <si>
    <t>Stores the exact creation time.</t>
  </si>
  <si>
    <t>Assigned_To</t>
  </si>
  <si>
    <t>VARCHAR(100)</t>
  </si>
  <si>
    <t>Resolved_Date</t>
  </si>
  <si>
    <t>Stores the resolved date. Can be NULL if not resolved yet.</t>
  </si>
  <si>
    <t>Resolved_Time</t>
  </si>
  <si>
    <t>Stores resolved time. Can be NULL if not resolved yet.</t>
  </si>
  <si>
    <t>Landing_Folder</t>
  </si>
  <si>
    <t>Categorical text, e.g., “Counselling Team - NPS”.</t>
  </si>
  <si>
    <t>Disposition_Folder_Level_1</t>
  </si>
  <si>
    <t>Categorical text.</t>
  </si>
  <si>
    <t>Disposition_Folder_Level_2</t>
  </si>
  <si>
    <t>VARCHAR(20)</t>
  </si>
  <si>
    <t>Phone numbers often stored as text to preserve leading zeros and formatting.</t>
  </si>
  <si>
    <t>Text column for email addresses.</t>
  </si>
  <si>
    <t>Ticket_All_Remarks</t>
  </si>
  <si>
    <t>TEXT</t>
  </si>
  <si>
    <t>Stores potentially long remarks / comments.</t>
  </si>
  <si>
    <t>Program_Name</t>
  </si>
  <si>
    <t>VARCHAR(50)</t>
  </si>
  <si>
    <t>Text categorical column.</t>
  </si>
  <si>
    <t>Issue_2_NPS</t>
  </si>
  <si>
    <t>NPS_Rating</t>
  </si>
  <si>
    <t>INT</t>
  </si>
  <si>
    <t>Numerical score (1–10). Can be NULL if not rated yet.</t>
  </si>
  <si>
    <t>E.g., “Pending”, “Complete”.</t>
  </si>
  <si>
    <t>Sub_Status</t>
  </si>
  <si>
    <t>E.g., “In Progress”, “Solved”, “Awaiting Action - Learner/Scaler”.</t>
  </si>
  <si>
    <t>Name of the assigned agent. Can store "Unassigned" / "Unknown_Handler" if needed.</t>
  </si>
  <si>
    <t>Data Type</t>
  </si>
  <si>
    <t>Standardized Data Entry Procedure</t>
  </si>
  <si>
    <t>Text / Numeric</t>
  </si>
  <si>
    <t>Must always be filled; system-generated if possible; no duplicates.</t>
  </si>
  <si>
    <t>Date</t>
  </si>
  <si>
    <t>Time</t>
  </si>
  <si>
    <t>Text</t>
  </si>
  <si>
    <t>Must select from predefined agents; if unknown → "Unassigned" or if work started → "Unknown_Handler".</t>
  </si>
  <si>
    <t>Use date format; leave blank if ticket unresolved.</t>
  </si>
  <si>
    <t>Use time format; leave blank if unresolved.</t>
  </si>
  <si>
    <t>Must select from predefined options; if unknown → "not_present".</t>
  </si>
  <si>
    <t>Standardized categories; use "not_present" if missing.</t>
  </si>
  <si>
    <t>Enter valid 10-digit numbers; blanks allowed if unknown.</t>
  </si>
  <si>
    <t>Validate with conditional formatting; leave blank if unknown.</t>
  </si>
  <si>
    <t>Enter remarks consistently; if none, write "not_present".</t>
  </si>
  <si>
    <t>Use predefined program list; if unknown, "not_present".</t>
  </si>
  <si>
    <t>Use standardized issues; if unknown, "not_present".</t>
  </si>
  <si>
    <t>Numeric</t>
  </si>
  <si>
    <t>Enter integer 1–10; leave blank if not rated.</t>
  </si>
  <si>
    <t>Must select only from these values; cannot be blank.</t>
  </si>
  <si>
    <t>Must select only from predefined options; cannot be blank if status is Complete.</t>
  </si>
  <si>
    <t>Use Excel date picker; format MM/DD/YYYY; cannot be blank.</t>
  </si>
  <si>
    <t>Use Excel time format HH:MM:SS; cannot be blank.</t>
  </si>
  <si>
    <t xml:space="preserve">Standardized data entry procedure </t>
  </si>
  <si>
    <t xml:space="preserve">what if blank </t>
  </si>
  <si>
    <t xml:space="preserve">If blank - then left blank </t>
  </si>
  <si>
    <t xml:space="preserve">if blank - then kept "Unassigned" or "unknown_Handler" based on some conditions </t>
  </si>
  <si>
    <t>if status is pending and ticket remark is blank then "unassigned" otherwise "unknown_handler "</t>
  </si>
  <si>
    <t xml:space="preserve">left blank because it is envolved in calculation of date and hour. Type error can happen in calculation </t>
  </si>
  <si>
    <t>if blank = "not_present"</t>
  </si>
  <si>
    <t>if blank = then "not_present"</t>
  </si>
  <si>
    <t xml:space="preserve">if blank - then left null </t>
  </si>
  <si>
    <r>
      <t xml:space="preserve">If the </t>
    </r>
    <r>
      <rPr>
        <b/>
        <sz val="11"/>
        <color theme="1"/>
        <rFont val="Calibri"/>
        <family val="2"/>
        <scheme val="minor"/>
      </rPr>
      <t>Resolved Date</t>
    </r>
    <r>
      <rPr>
        <sz val="11"/>
        <color theme="1"/>
        <rFont val="Calibri"/>
        <family val="2"/>
        <scheme val="minor"/>
      </rPr>
      <t xml:space="preserve"> is not blank, then the </t>
    </r>
    <r>
      <rPr>
        <b/>
        <sz val="11"/>
        <color theme="1"/>
        <rFont val="Calibri"/>
        <family val="2"/>
        <scheme val="minor"/>
      </rPr>
      <t>Status</t>
    </r>
    <r>
      <rPr>
        <sz val="11"/>
        <color theme="1"/>
        <rFont val="Calibri"/>
        <family val="2"/>
        <scheme val="minor"/>
      </rPr>
      <t xml:space="preserve"> should be </t>
    </r>
    <r>
      <rPr>
        <sz val="10"/>
        <color theme="1"/>
        <rFont val="Arial Unicode MS"/>
      </rPr>
      <t>"Complete"</t>
    </r>
    <r>
      <rPr>
        <sz val="11"/>
        <color theme="1"/>
        <rFont val="Calibri"/>
        <family val="2"/>
        <scheme val="minor"/>
      </rPr>
      <t xml:space="preserve">. If the </t>
    </r>
    <r>
      <rPr>
        <b/>
        <sz val="11"/>
        <color theme="1"/>
        <rFont val="Calibri"/>
        <family val="2"/>
        <scheme val="minor"/>
      </rPr>
      <t>Resolved Date</t>
    </r>
    <r>
      <rPr>
        <sz val="11"/>
        <color theme="1"/>
        <rFont val="Calibri"/>
        <family val="2"/>
        <scheme val="minor"/>
      </rPr>
      <t xml:space="preserve"> is blank but </t>
    </r>
    <r>
      <rPr>
        <b/>
        <sz val="11"/>
        <color theme="1"/>
        <rFont val="Calibri"/>
        <family val="2"/>
        <scheme val="minor"/>
      </rPr>
      <t>Status</t>
    </r>
    <r>
      <rPr>
        <sz val="11"/>
        <color theme="1"/>
        <rFont val="Calibri"/>
        <family val="2"/>
        <scheme val="minor"/>
      </rPr>
      <t xml:space="preserve"> is already </t>
    </r>
    <r>
      <rPr>
        <sz val="10"/>
        <color theme="1"/>
        <rFont val="Arial Unicode MS"/>
      </rPr>
      <t>"Complete"</t>
    </r>
    <r>
      <rPr>
        <sz val="11"/>
        <color theme="1"/>
        <rFont val="Calibri"/>
        <family val="2"/>
        <scheme val="minor"/>
      </rPr>
      <t xml:space="preserve">, then it should remain </t>
    </r>
    <r>
      <rPr>
        <sz val="10"/>
        <color theme="1"/>
        <rFont val="Arial Unicode MS"/>
      </rPr>
      <t>"Complete"</t>
    </r>
    <r>
      <rPr>
        <sz val="11"/>
        <color theme="1"/>
        <rFont val="Calibri"/>
        <family val="2"/>
        <scheme val="minor"/>
      </rPr>
      <t xml:space="preserve">. If both </t>
    </r>
    <r>
      <rPr>
        <b/>
        <sz val="11"/>
        <color theme="1"/>
        <rFont val="Calibri"/>
        <family val="2"/>
        <scheme val="minor"/>
      </rPr>
      <t>Resolved Date</t>
    </r>
    <r>
      <rPr>
        <sz val="11"/>
        <color theme="1"/>
        <rFont val="Calibri"/>
        <family val="2"/>
        <scheme val="minor"/>
      </rPr>
      <t xml:space="preserve"> and </t>
    </r>
    <r>
      <rPr>
        <b/>
        <sz val="11"/>
        <color theme="1"/>
        <rFont val="Calibri"/>
        <family val="2"/>
        <scheme val="minor"/>
      </rPr>
      <t>Status</t>
    </r>
    <r>
      <rPr>
        <sz val="11"/>
        <color theme="1"/>
        <rFont val="Calibri"/>
        <family val="2"/>
        <scheme val="minor"/>
      </rPr>
      <t xml:space="preserve"> are blank but </t>
    </r>
    <r>
      <rPr>
        <b/>
        <sz val="11"/>
        <color theme="1"/>
        <rFont val="Calibri"/>
        <family val="2"/>
        <scheme val="minor"/>
      </rPr>
      <t>Substatus</t>
    </r>
    <r>
      <rPr>
        <sz val="11"/>
        <color theme="1"/>
        <rFont val="Calibri"/>
        <family val="2"/>
        <scheme val="minor"/>
      </rPr>
      <t xml:space="preserve"> is non-blank, then the </t>
    </r>
    <r>
      <rPr>
        <b/>
        <sz val="11"/>
        <color theme="1"/>
        <rFont val="Calibri"/>
        <family val="2"/>
        <scheme val="minor"/>
      </rPr>
      <t>Status</t>
    </r>
    <r>
      <rPr>
        <sz val="11"/>
        <color theme="1"/>
        <rFont val="Calibri"/>
        <family val="2"/>
        <scheme val="minor"/>
      </rPr>
      <t xml:space="preserve"> should be </t>
    </r>
    <r>
      <rPr>
        <sz val="10"/>
        <color theme="1"/>
        <rFont val="Arial Unicode MS"/>
      </rPr>
      <t>"Pending"</t>
    </r>
    <r>
      <rPr>
        <sz val="11"/>
        <color theme="1"/>
        <rFont val="Calibri"/>
        <family val="2"/>
        <scheme val="minor"/>
      </rPr>
      <t>. If all three (</t>
    </r>
    <r>
      <rPr>
        <b/>
        <sz val="11"/>
        <color theme="1"/>
        <rFont val="Calibri"/>
        <family val="2"/>
        <scheme val="minor"/>
      </rPr>
      <t>Resolved Date</t>
    </r>
    <r>
      <rPr>
        <sz val="11"/>
        <color theme="1"/>
        <rFont val="Calibri"/>
        <family val="2"/>
        <scheme val="minor"/>
      </rPr>
      <t xml:space="preserve">, </t>
    </r>
    <r>
      <rPr>
        <b/>
        <sz val="11"/>
        <color theme="1"/>
        <rFont val="Calibri"/>
        <family val="2"/>
        <scheme val="minor"/>
      </rPr>
      <t>Status</t>
    </r>
    <r>
      <rPr>
        <sz val="11"/>
        <color theme="1"/>
        <rFont val="Calibri"/>
        <family val="2"/>
        <scheme val="minor"/>
      </rPr>
      <t xml:space="preserve">, and </t>
    </r>
    <r>
      <rPr>
        <b/>
        <sz val="11"/>
        <color theme="1"/>
        <rFont val="Calibri"/>
        <family val="2"/>
        <scheme val="minor"/>
      </rPr>
      <t>Substatus</t>
    </r>
    <r>
      <rPr>
        <sz val="11"/>
        <color theme="1"/>
        <rFont val="Calibri"/>
        <family val="2"/>
        <scheme val="minor"/>
      </rPr>
      <t xml:space="preserve">) are blank, the </t>
    </r>
    <r>
      <rPr>
        <b/>
        <sz val="11"/>
        <color theme="1"/>
        <rFont val="Calibri"/>
        <family val="2"/>
        <scheme val="minor"/>
      </rPr>
      <t>Status</t>
    </r>
    <r>
      <rPr>
        <sz val="11"/>
        <color theme="1"/>
        <rFont val="Calibri"/>
        <family val="2"/>
        <scheme val="minor"/>
      </rPr>
      <t xml:space="preserve"> should be </t>
    </r>
    <r>
      <rPr>
        <sz val="10"/>
        <color theme="1"/>
        <rFont val="Arial Unicode MS"/>
      </rPr>
      <t>"Pending"</t>
    </r>
    <r>
      <rPr>
        <sz val="11"/>
        <color theme="1"/>
        <rFont val="Calibri"/>
        <family val="2"/>
        <scheme val="minor"/>
      </rPr>
      <t xml:space="preserve">. Otherwise, keep the </t>
    </r>
    <r>
      <rPr>
        <b/>
        <sz val="11"/>
        <color theme="1"/>
        <rFont val="Calibri"/>
        <family val="2"/>
        <scheme val="minor"/>
      </rPr>
      <t>original Status</t>
    </r>
    <r>
      <rPr>
        <sz val="11"/>
        <color theme="1"/>
        <rFont val="Calibri"/>
        <family val="2"/>
        <scheme val="minor"/>
      </rPr>
      <t>.</t>
    </r>
  </si>
  <si>
    <r>
      <t xml:space="preserve">If the </t>
    </r>
    <r>
      <rPr>
        <b/>
        <sz val="11"/>
        <color theme="1"/>
        <rFont val="Calibri"/>
        <family val="2"/>
        <scheme val="minor"/>
      </rPr>
      <t>Resolved Date</t>
    </r>
    <r>
      <rPr>
        <sz val="11"/>
        <color theme="1"/>
        <rFont val="Calibri"/>
        <family val="2"/>
        <scheme val="minor"/>
      </rPr>
      <t xml:space="preserve"> is not blank, the </t>
    </r>
    <r>
      <rPr>
        <b/>
        <sz val="11"/>
        <color theme="1"/>
        <rFont val="Calibri"/>
        <family val="2"/>
        <scheme val="minor"/>
      </rPr>
      <t>Substatus</t>
    </r>
    <r>
      <rPr>
        <sz val="11"/>
        <color theme="1"/>
        <rFont val="Calibri"/>
        <family val="2"/>
        <scheme val="minor"/>
      </rPr>
      <t xml:space="preserve"> should be </t>
    </r>
    <r>
      <rPr>
        <sz val="10"/>
        <color theme="1"/>
        <rFont val="Arial Unicode MS"/>
      </rPr>
      <t>"Solved"</t>
    </r>
    <r>
      <rPr>
        <sz val="11"/>
        <color theme="1"/>
        <rFont val="Calibri"/>
        <family val="2"/>
        <scheme val="minor"/>
      </rPr>
      <t xml:space="preserve">. If the </t>
    </r>
    <r>
      <rPr>
        <b/>
        <sz val="11"/>
        <color theme="1"/>
        <rFont val="Calibri"/>
        <family val="2"/>
        <scheme val="minor"/>
      </rPr>
      <t>Resolved Date</t>
    </r>
    <r>
      <rPr>
        <sz val="11"/>
        <color theme="1"/>
        <rFont val="Calibri"/>
        <family val="2"/>
        <scheme val="minor"/>
      </rPr>
      <t xml:space="preserve"> is blank but </t>
    </r>
    <r>
      <rPr>
        <b/>
        <sz val="11"/>
        <color theme="1"/>
        <rFont val="Calibri"/>
        <family val="2"/>
        <scheme val="minor"/>
      </rPr>
      <t>Status</t>
    </r>
    <r>
      <rPr>
        <sz val="11"/>
        <color theme="1"/>
        <rFont val="Calibri"/>
        <family val="2"/>
        <scheme val="minor"/>
      </rPr>
      <t xml:space="preserve"> is </t>
    </r>
    <r>
      <rPr>
        <sz val="10"/>
        <color theme="1"/>
        <rFont val="Arial Unicode MS"/>
      </rPr>
      <t>"Complete"</t>
    </r>
    <r>
      <rPr>
        <sz val="11"/>
        <color theme="1"/>
        <rFont val="Calibri"/>
        <family val="2"/>
        <scheme val="minor"/>
      </rPr>
      <t xml:space="preserve">, the </t>
    </r>
    <r>
      <rPr>
        <b/>
        <sz val="11"/>
        <color theme="1"/>
        <rFont val="Calibri"/>
        <family val="2"/>
        <scheme val="minor"/>
      </rPr>
      <t>Substatus</t>
    </r>
    <r>
      <rPr>
        <sz val="11"/>
        <color theme="1"/>
        <rFont val="Calibri"/>
        <family val="2"/>
        <scheme val="minor"/>
      </rPr>
      <t xml:space="preserve"> should also be </t>
    </r>
    <r>
      <rPr>
        <sz val="10"/>
        <color theme="1"/>
        <rFont val="Arial Unicode MS"/>
      </rPr>
      <t>"Solved"</t>
    </r>
    <r>
      <rPr>
        <sz val="11"/>
        <color theme="1"/>
        <rFont val="Calibri"/>
        <family val="2"/>
        <scheme val="minor"/>
      </rPr>
      <t xml:space="preserve">. If </t>
    </r>
    <r>
      <rPr>
        <b/>
        <sz val="11"/>
        <color theme="1"/>
        <rFont val="Calibri"/>
        <family val="2"/>
        <scheme val="minor"/>
      </rPr>
      <t>Resolved Date</t>
    </r>
    <r>
      <rPr>
        <sz val="11"/>
        <color theme="1"/>
        <rFont val="Calibri"/>
        <family val="2"/>
        <scheme val="minor"/>
      </rPr>
      <t xml:space="preserve"> and </t>
    </r>
    <r>
      <rPr>
        <b/>
        <sz val="11"/>
        <color theme="1"/>
        <rFont val="Calibri"/>
        <family val="2"/>
        <scheme val="minor"/>
      </rPr>
      <t>Status</t>
    </r>
    <r>
      <rPr>
        <sz val="11"/>
        <color theme="1"/>
        <rFont val="Calibri"/>
        <family val="2"/>
        <scheme val="minor"/>
      </rPr>
      <t xml:space="preserve"> are blank but </t>
    </r>
    <r>
      <rPr>
        <b/>
        <sz val="11"/>
        <color theme="1"/>
        <rFont val="Calibri"/>
        <family val="2"/>
        <scheme val="minor"/>
      </rPr>
      <t>Substatus</t>
    </r>
    <r>
      <rPr>
        <sz val="11"/>
        <color theme="1"/>
        <rFont val="Calibri"/>
        <family val="2"/>
        <scheme val="minor"/>
      </rPr>
      <t xml:space="preserve"> is non-blank, keep the original </t>
    </r>
    <r>
      <rPr>
        <b/>
        <sz val="11"/>
        <color theme="1"/>
        <rFont val="Calibri"/>
        <family val="2"/>
        <scheme val="minor"/>
      </rPr>
      <t>Substatus</t>
    </r>
    <r>
      <rPr>
        <sz val="11"/>
        <color theme="1"/>
        <rFont val="Calibri"/>
        <family val="2"/>
        <scheme val="minor"/>
      </rPr>
      <t>. If all three (</t>
    </r>
    <r>
      <rPr>
        <b/>
        <sz val="11"/>
        <color theme="1"/>
        <rFont val="Calibri"/>
        <family val="2"/>
        <scheme val="minor"/>
      </rPr>
      <t>Resolved Date</t>
    </r>
    <r>
      <rPr>
        <sz val="11"/>
        <color theme="1"/>
        <rFont val="Calibri"/>
        <family val="2"/>
        <scheme val="minor"/>
      </rPr>
      <t xml:space="preserve">, </t>
    </r>
    <r>
      <rPr>
        <b/>
        <sz val="11"/>
        <color theme="1"/>
        <rFont val="Calibri"/>
        <family val="2"/>
        <scheme val="minor"/>
      </rPr>
      <t>Status</t>
    </r>
    <r>
      <rPr>
        <sz val="11"/>
        <color theme="1"/>
        <rFont val="Calibri"/>
        <family val="2"/>
        <scheme val="minor"/>
      </rPr>
      <t xml:space="preserve">, and </t>
    </r>
    <r>
      <rPr>
        <b/>
        <sz val="11"/>
        <color theme="1"/>
        <rFont val="Calibri"/>
        <family val="2"/>
        <scheme val="minor"/>
      </rPr>
      <t>Substatus</t>
    </r>
    <r>
      <rPr>
        <sz val="11"/>
        <color theme="1"/>
        <rFont val="Calibri"/>
        <family val="2"/>
        <scheme val="minor"/>
      </rPr>
      <t xml:space="preserve">) are blank, the </t>
    </r>
    <r>
      <rPr>
        <b/>
        <sz val="11"/>
        <color theme="1"/>
        <rFont val="Calibri"/>
        <family val="2"/>
        <scheme val="minor"/>
      </rPr>
      <t>Substatus</t>
    </r>
    <r>
      <rPr>
        <sz val="11"/>
        <color theme="1"/>
        <rFont val="Calibri"/>
        <family val="2"/>
        <scheme val="minor"/>
      </rPr>
      <t xml:space="preserve"> should be </t>
    </r>
    <r>
      <rPr>
        <sz val="10"/>
        <color theme="1"/>
        <rFont val="Arial Unicode MS"/>
      </rPr>
      <t>"not_present"</t>
    </r>
    <r>
      <rPr>
        <sz val="11"/>
        <color theme="1"/>
        <rFont val="Calibri"/>
        <family val="2"/>
        <scheme val="minor"/>
      </rPr>
      <t>.</t>
    </r>
  </si>
  <si>
    <t xml:space="preserve">if blank - filled by logic in side </t>
  </si>
  <si>
    <t xml:space="preserve">Logics </t>
  </si>
  <si>
    <t>Hours_In_Solved</t>
  </si>
  <si>
    <t>Days_In_Solved</t>
  </si>
  <si>
    <t>Issue_solved_date_absent</t>
  </si>
  <si>
    <t>total</t>
  </si>
  <si>
    <t xml:space="preserve">TOP ISSUES IN DATA </t>
  </si>
  <si>
    <t xml:space="preserve">ISSUE </t>
  </si>
  <si>
    <t>COUNT OF STATUS - Complete</t>
  </si>
  <si>
    <t>COUNT OF STATUS - Pending</t>
  </si>
  <si>
    <t xml:space="preserve">TOTAL TICKET PERCENTAGE </t>
  </si>
  <si>
    <t>cross-program vs program-specific problems</t>
  </si>
  <si>
    <t>Average of Hours_In_Solved</t>
  </si>
  <si>
    <t>Average of Days_In_Solved</t>
  </si>
  <si>
    <t>1-4 days</t>
  </si>
  <si>
    <t>5-8 days</t>
  </si>
  <si>
    <t>9-12 days</t>
  </si>
  <si>
    <t>MONTH</t>
  </si>
  <si>
    <t>WEEK</t>
  </si>
  <si>
    <t>week_day</t>
  </si>
  <si>
    <t xml:space="preserve">DATA QUALITY ISSUES </t>
  </si>
  <si>
    <t>SL.NO</t>
  </si>
  <si>
    <t>EXAMPLE</t>
  </si>
  <si>
    <t xml:space="preserve">COLUMNS </t>
  </si>
  <si>
    <t>RESOLVED DATE AND TIME ARE MISSING THOUGH STATUS IS COMPLETE AND SUB STATUS IS SOLVED</t>
  </si>
  <si>
    <t>SOME NAMES IN ASSIGNED TO ARE BLANK EVEN THOUGH TICKET REMARK IS THERE . ALSO IN FEW CASES STATUS IS COMPLETE ASSIGNED TO IS BLANK.</t>
  </si>
  <si>
    <t xml:space="preserve">HERE STATUS IS COMPLETE BUT SUB STATUS IS IN PROGRESS . THIS IS AN LOGICAL MISTAKE. SUB STATUS SHOULD BE SOLVED </t>
  </si>
  <si>
    <t xml:space="preserve">HERE STATUS IS COMPLETE RESOLVED DATE AND TIME ARE BLANK PLUS SUBSTATUS IS ALSO AWAITING LEARNER ACTION </t>
  </si>
  <si>
    <t xml:space="preserve">ISSUE TYPE IS INCORRECT WITH RESTECT TO TICKET ALL REMARK. FEW MORE EXAMPLES ARE ALSO THERE WHICH ISSUE TYPE AND CATEGORY ARE NOT MATCHING. </t>
  </si>
  <si>
    <t>1.Identify top 5 most critical issue types (frequency + impact)</t>
  </si>
  <si>
    <t xml:space="preserve">BASED ON THE FOLLOWING DATA TOP 5 MOST CRITICAL ISSUES  </t>
  </si>
  <si>
    <t>2.Find cross-program vs program-specific problems</t>
  </si>
  <si>
    <t>Issue</t>
  </si>
  <si>
    <t>Classification</t>
  </si>
  <si>
    <t>Cross-program</t>
  </si>
  <si>
    <t>Program-specific (AIML)</t>
  </si>
  <si>
    <t>Program-specific (DSML/Academy)</t>
  </si>
  <si>
    <t>Program-specific (DevOps/DSML)</t>
  </si>
  <si>
    <t>Program-specific (Academy)</t>
  </si>
  <si>
    <t>Program-specific (DSML)</t>
  </si>
  <si>
    <t>Program-specific (DevOps)</t>
  </si>
  <si>
    <t>Issue CATEGORY</t>
  </si>
  <si>
    <t>ISSUE_CATEGORY</t>
  </si>
  <si>
    <t>COUNT_OF_TICKETS_SOLVED</t>
  </si>
  <si>
    <t>3.Analyse resolution time patterns by issue category</t>
  </si>
  <si>
    <t>4.Determine which single fix would help the most learners</t>
  </si>
  <si>
    <t>The single fix that would help the most learners is addressing “Looking For Career Guidance (NPS)”. It has the highest frequency (21 learners) and also significant unresolved cases (7 pending). Since it directly impacts learners’ career outcomes, resolving this issue would create the largest positive impact.</t>
  </si>
  <si>
    <t>.</t>
  </si>
  <si>
    <t xml:space="preserve">DAYS </t>
  </si>
  <si>
    <t xml:space="preserve">AVG_DAILY_TICKETS </t>
  </si>
  <si>
    <t xml:space="preserve">monthly Ticket volumn trend  </t>
  </si>
  <si>
    <t xml:space="preserve">COUNT OF TICKETS </t>
  </si>
  <si>
    <t xml:space="preserve">ISSUE TYPE DISTRIBUTION ACROSS PROGRAMMES </t>
  </si>
  <si>
    <t>SOLVED_PER</t>
  </si>
  <si>
    <t>PENDING_PER</t>
  </si>
  <si>
    <t>HANDLER</t>
  </si>
  <si>
    <t>ISSUE CATEGORY</t>
  </si>
  <si>
    <t>PROGRAM</t>
  </si>
  <si>
    <t xml:space="preserve">Complete- TICKETS </t>
  </si>
  <si>
    <t xml:space="preserve">Pending TICKETS </t>
  </si>
  <si>
    <t xml:space="preserve">2.ISSUE TYPE DISTRIBUTION ACROSS PROGRAMS </t>
  </si>
  <si>
    <t>1.MONTHLY WEEKLY TICKET TRENDS</t>
  </si>
  <si>
    <t>3.TEAM PERFORMANCE ANALYSIS</t>
  </si>
  <si>
    <t>DAY</t>
  </si>
  <si>
    <t>MONTH 8 DAYS</t>
  </si>
  <si>
    <t>MONTH 9 DAYS</t>
  </si>
  <si>
    <t>WEEK DAY</t>
  </si>
  <si>
    <t>SUNDAY</t>
  </si>
  <si>
    <t>MONDAYS</t>
  </si>
  <si>
    <t>MONDAY</t>
  </si>
  <si>
    <t>TUESDAY</t>
  </si>
  <si>
    <t>WEDNESDAY</t>
  </si>
  <si>
    <t>THURSDAY</t>
  </si>
  <si>
    <t>FRIDAY</t>
  </si>
  <si>
    <t>SATURDAY</t>
  </si>
  <si>
    <t>HOURS OF DAY</t>
  </si>
  <si>
    <t>Count of Ticket received</t>
  </si>
  <si>
    <t xml:space="preserve">4.SEASONAL AND TIME BASED PATTERN </t>
  </si>
  <si>
    <t>PERCENTAGE</t>
  </si>
  <si>
    <t>10 - 11 hr</t>
  </si>
  <si>
    <t>11 - 12 hr</t>
  </si>
  <si>
    <t>12 - 13 hr</t>
  </si>
  <si>
    <t>13 - 14 hr</t>
  </si>
  <si>
    <t>14 - 15 hr</t>
  </si>
  <si>
    <t>15 - 16 hr</t>
  </si>
  <si>
    <t>16 - 17 hr</t>
  </si>
  <si>
    <t>17 - 18 hr</t>
  </si>
  <si>
    <t>18 - 19 hr</t>
  </si>
  <si>
    <t>19 - 20 hr</t>
  </si>
  <si>
    <t>20 - 21 hr</t>
  </si>
  <si>
    <t>9 - 10 hr</t>
  </si>
  <si>
    <t>THURDAY</t>
  </si>
  <si>
    <t>TICKET DISTRIBUTION ACROSS WEEKDAYS</t>
  </si>
  <si>
    <t xml:space="preserve">DAY WISE TICKET DISTRIBUTION IN MONTH 8 </t>
  </si>
  <si>
    <t xml:space="preserve">DAY WISE TICKET DISTRIBUTION IN MONTH 9 </t>
  </si>
  <si>
    <t xml:space="preserve">HOUR WISE TICKET DISTRIBUTION </t>
  </si>
  <si>
    <t xml:space="preserve">HEAT MAP OF HOUR AND WEEKDAY TICKET DISTRIBUTION </t>
  </si>
  <si>
    <t xml:space="preserve">AVG MONTLY TICKETS </t>
  </si>
  <si>
    <t xml:space="preserve">AVG WEEKLY TICKETS </t>
  </si>
  <si>
    <t>Day_IN _SOLVED_Bucket</t>
  </si>
  <si>
    <t>DAYS_SINCE_PENDING</t>
  </si>
  <si>
    <t>Hour_Between_recieved</t>
  </si>
  <si>
    <t>Ticket Remarks Summary</t>
  </si>
  <si>
    <t>Root Cause</t>
  </si>
  <si>
    <t>Systemic / Isolated</t>
  </si>
  <si>
    <t>Affected Process</t>
  </si>
  <si>
    <t>Preventive Measures</t>
  </si>
  <si>
    <t>Multiple learners are unsure about career transitions—freelancing, higher studies, relocation, international opportunities, startup vs corporate, and management vs technical roles.</t>
  </si>
  <si>
    <t>Lack of structured career counseling and standardized guidance for various career paths.</t>
  </si>
  <si>
    <t>Systemic</t>
  </si>
  <si>
    <t>Career counseling &amp; mentorship process</t>
  </si>
  <si>
    <t>Introduce structured mentorship programs, maintain a knowledge base for career pathways, organize targeted counseling sessions for different transitions.</t>
  </si>
  <si>
    <t>Applied for Jobs but No Satisfactory Outcome (NPS)</t>
  </si>
  <si>
    <t>Learners face barriers like internal referrals, low salary offers, geographic constraints, inadequate preparation for system design &amp; cultural fit interviews, and preference for gig/contract roles.</t>
  </si>
  <si>
    <t>Inefficient placement support and lack of exposure to industry referral networks &amp; advanced interview preparation.</t>
  </si>
  <si>
    <t>Placement and recruitment support process</t>
  </si>
  <si>
    <t>Expand alumni referral network, offer mock interviews &amp; negotiation training, create dedicated outreach to product-based companies, and provide workshops on system design and cultural fit.</t>
  </si>
  <si>
    <t>Assignments and projects too complex or misaligned with taught curriculum; issues with auto-grading system; unclear capstone requirements; poor guidance on data quality &amp; code reviews; unresponsive group members.</t>
  </si>
  <si>
    <t>Curriculum-project misalignment, inadequate feedback loops, and insufficient project support.</t>
  </si>
  <si>
    <t>Project assignment &amp; evaluation process</t>
  </si>
  <si>
    <t>Standardize project requirements, provide stepwise project guides, fix auto-grading issues, implement mandatory code reviews, provide tutorials on data handling, and track individual contributions in group projects.</t>
  </si>
  <si>
    <t xml:space="preserve">RCA SUMMARY FOR TOP 3 ISSUES </t>
  </si>
  <si>
    <t>Systemic Problems</t>
  </si>
  <si>
    <t>Isolated Problems</t>
  </si>
  <si>
    <t>Multiple learners unsure about career transitions (freelancing, management, product vs service companies), relocation issues, or international opportunities. These recur across several tickets.</t>
  </si>
  <si>
    <t>Individual-specific queries like choosing between Data Science vs ML engineer, or deciding on timing for MS abroad.</t>
  </si>
  <si>
    <t>Multiple learners facing internal referral bias, low salary offers, limited opportunities in Tier-2 cities. These issues appear repeatedly.</t>
  </si>
  <si>
    <t>Individual-specific cases like scheduling conflicts with evening AIML classes, or failing system design rounds despite preparation.</t>
  </si>
  <si>
    <t>Curriculum not addressing deployment challenges, inconsistent assignment datasets, lack of code review feedback, unclear project requirements. These occur in many tickets.</t>
  </si>
  <si>
    <t>Individual-specific issues like struggling with PostgreSQL vs MySQL, or unresponsive teammates in group projects.</t>
  </si>
  <si>
    <t>DAYS_SINCE_PENDING_BUCKET</t>
  </si>
  <si>
    <t xml:space="preserve">WEEK </t>
  </si>
  <si>
    <t xml:space="preserve">ASSIGNED TO </t>
  </si>
  <si>
    <t xml:space="preserve">PROGRAM </t>
  </si>
  <si>
    <t xml:space="preserve">ISSUE CATEGORY </t>
  </si>
  <si>
    <t xml:space="preserve">ISSUE TYPE </t>
  </si>
  <si>
    <t xml:space="preserve">COMPLETE / PENDING </t>
  </si>
  <si>
    <t xml:space="preserve">AVG_RESOLUTION_TIME  </t>
  </si>
  <si>
    <t xml:space="preserve">ISSUE TYPE VS PROGRAM </t>
  </si>
  <si>
    <t xml:space="preserve">RESOLUTION_BUCKET_DISTRIBUTION </t>
  </si>
  <si>
    <t xml:space="preserve">PENDING BUCKET RESOLUTION </t>
  </si>
  <si>
    <t>PROGRAM WISE TOP ISSUE DISTRIBUTION</t>
  </si>
  <si>
    <t>TOP ISSUE WITH WEEK/MONTH</t>
  </si>
  <si>
    <t xml:space="preserve">PROGRAM WITH TOP ISSUE </t>
  </si>
  <si>
    <t xml:space="preserve">CATEGORY HAVING MAX ISSUE </t>
  </si>
  <si>
    <t>Program × Issue Category(AVG RESOLUTION TIME )</t>
  </si>
  <si>
    <r>
      <t xml:space="preserve">Create a </t>
    </r>
    <r>
      <rPr>
        <b/>
        <sz val="11"/>
        <color theme="1"/>
        <rFont val="Calibri"/>
        <family val="2"/>
        <scheme val="minor"/>
      </rPr>
      <t>matrix/pivot</t>
    </r>
    <r>
      <rPr>
        <sz val="11"/>
        <color theme="1"/>
        <rFont val="Calibri"/>
        <family val="2"/>
        <scheme val="minor"/>
      </rPr>
      <t xml:space="preserve"> → Program on rows, Issue Category on columns</t>
    </r>
  </si>
  <si>
    <t>Fill values with Avg Resolution Time or Efficiency Score</t>
  </si>
  <si>
    <r>
      <t xml:space="preserve">This shows whether, for example, </t>
    </r>
    <r>
      <rPr>
        <i/>
        <sz val="11"/>
        <color theme="1"/>
        <rFont val="Calibri"/>
        <family val="2"/>
        <scheme val="minor"/>
      </rPr>
      <t>Placement issues in DSML</t>
    </r>
    <r>
      <rPr>
        <sz val="11"/>
        <color theme="1"/>
        <rFont val="Calibri"/>
        <family val="2"/>
        <scheme val="minor"/>
      </rPr>
      <t xml:space="preserve"> are harder to solve than </t>
    </r>
    <r>
      <rPr>
        <i/>
        <sz val="11"/>
        <color theme="1"/>
        <rFont val="Calibri"/>
        <family val="2"/>
        <scheme val="minor"/>
      </rPr>
      <t>Placement issues in AIML</t>
    </r>
    <r>
      <rPr>
        <sz val="11"/>
        <color theme="1"/>
        <rFont val="Calibri"/>
        <family val="2"/>
        <scheme val="minor"/>
      </rPr>
      <t>.</t>
    </r>
  </si>
  <si>
    <r>
      <t>Program-wise view</t>
    </r>
    <r>
      <rPr>
        <sz val="11"/>
        <color theme="1"/>
        <rFont val="Calibri"/>
        <family val="2"/>
        <scheme val="minor"/>
      </rPr>
      <t xml:space="preserve"> → Which program’s students are facing the most delays?</t>
    </r>
  </si>
  <si>
    <r>
      <t>Category-wise view</t>
    </r>
    <r>
      <rPr>
        <sz val="11"/>
        <color theme="1"/>
        <rFont val="Calibri"/>
        <family val="2"/>
        <scheme val="minor"/>
      </rPr>
      <t xml:space="preserve"> → Which type of issue is most problematic overall?</t>
    </r>
  </si>
  <si>
    <t>Backlog Growth/Trend</t>
  </si>
  <si>
    <t>Pending tickets over time (weekly/monthly trend line).</t>
  </si>
  <si>
    <t>Shows whether backlog is under control or increasing.</t>
  </si>
  <si>
    <t>Looking For Career Guidance (21 total, 7 pending) → High frequency + High impact (career-related).</t>
  </si>
  <si>
    <t>Applied for jobs but no satisfactory outcome (19 total, 5 pending) → High frequency + High impact.</t>
  </si>
  <si>
    <t>Projects &amp; Assignment Related Concern (18 total, 9 pending) → High frequency, very high pending → High impact on learning progress.</t>
  </si>
  <si>
    <r>
      <t xml:space="preserve">False Promise By Sales Team (18 total, only 2 pending) → High frequency but </t>
    </r>
    <r>
      <rPr>
        <i/>
        <sz val="10"/>
        <color rgb="FF000000"/>
        <rFont val="Calibri"/>
        <family val="2"/>
        <scheme val="minor"/>
      </rPr>
      <t>mostly resolved</t>
    </r>
    <r>
      <rPr>
        <sz val="10"/>
        <color rgb="FF000000"/>
        <rFont val="Calibri"/>
        <family val="2"/>
        <scheme val="minor"/>
      </rPr>
      <t xml:space="preserve"> → Lower current impact.</t>
    </r>
  </si>
  <si>
    <t>Time Management (18 total, 5 pending) → High frequency, medium impact (important, but less career-critical).</t>
  </si>
  <si>
    <t>ISSUE CAT</t>
  </si>
  <si>
    <t xml:space="preserve">PROGRAM x ISSUE </t>
  </si>
  <si>
    <t xml:space="preserve">TOP 5 PENDING ISSUE SHOULD BE HIGHLIGHTED ISSUE  </t>
  </si>
  <si>
    <t>PENDING ISSUE COUNT BAR GRAPH</t>
  </si>
  <si>
    <t xml:space="preserve">WHICH ISSUE IS AFFECTING THE PROGRAM MOST. PROGRAM SPECIFIC TOP ISSUE </t>
  </si>
  <si>
    <t xml:space="preserve">WHICH ISSUE IS TAKING MAX TIME TO SOLVE </t>
  </si>
  <si>
    <t xml:space="preserve">NOW THIS CAN ALSO BE PROGRAM SPECIFIC AS WELL. KI USS PROGRAM ME SABSE ZYADA KAUNSA ISSUE TIME LE RAHA HAO SOLVE HONE ME . </t>
  </si>
  <si>
    <t>“This heatmap highlights the programs and issue categories with the highest average resolution time, helping us quickly identify efficiency bottlenecks and prioritize operational improvements.”</t>
  </si>
  <si>
    <r>
      <t xml:space="preserve">a </t>
    </r>
    <r>
      <rPr>
        <b/>
        <sz val="11"/>
        <color theme="1"/>
        <rFont val="Calibri"/>
        <family val="2"/>
        <scheme val="minor"/>
      </rPr>
      <t>Program × Issue Category heatmap</t>
    </r>
    <r>
      <rPr>
        <sz val="11"/>
        <color theme="1"/>
        <rFont val="Calibri"/>
        <family val="2"/>
        <scheme val="minor"/>
      </rPr>
      <t xml:space="preserve"> with </t>
    </r>
    <r>
      <rPr>
        <b/>
        <sz val="11"/>
        <color theme="1"/>
        <rFont val="Calibri"/>
        <family val="2"/>
        <scheme val="minor"/>
      </rPr>
      <t>Average Resolution Time (hrs/days)</t>
    </r>
    <r>
      <rPr>
        <sz val="11"/>
        <color theme="1"/>
        <rFont val="Calibri"/>
        <family val="2"/>
        <scheme val="minor"/>
      </rPr>
      <t xml:space="preserve"> in</t>
    </r>
  </si>
  <si>
    <t>KPI</t>
  </si>
  <si>
    <t xml:space="preserve">RESOLUTION BUCKET </t>
  </si>
  <si>
    <t xml:space="preserve">NON RESOLVED BUCKET </t>
  </si>
  <si>
    <t xml:space="preserve">IT SHOULD BE ON GRANULAIRTY OF (PROGRAMxISSUE CATxISSUE TYPE x handler </t>
  </si>
  <si>
    <t>ayush</t>
  </si>
  <si>
    <t>&gt;20 days</t>
  </si>
  <si>
    <t>8-20 days</t>
  </si>
  <si>
    <t>Unknown_Handler</t>
  </si>
  <si>
    <t xml:space="preserve">AVG NPS </t>
  </si>
  <si>
    <t xml:space="preserve">PROGRAM WISE </t>
  </si>
  <si>
    <t xml:space="preserve">ISSUE CATEGORY DISTRIBUTION </t>
  </si>
  <si>
    <t xml:space="preserve">PROGRAM WITH MOST ISSUE </t>
  </si>
  <si>
    <t xml:space="preserve">PENDING </t>
  </si>
  <si>
    <t>COMPLETED</t>
  </si>
  <si>
    <t>COMPLETE</t>
  </si>
  <si>
    <t xml:space="preserve">HANDLER </t>
  </si>
  <si>
    <t xml:space="preserve">COMPLETE </t>
  </si>
  <si>
    <t xml:space="preserve">MONTH </t>
  </si>
  <si>
    <t xml:space="preserve">ISSUE CATEGORY  </t>
  </si>
  <si>
    <t>Total PERCENTAGE COMPLETE</t>
  </si>
  <si>
    <t>PERCENTAGE COMPLETE</t>
  </si>
  <si>
    <t xml:space="preserve">Total COUNT OF TICKET PENDING </t>
  </si>
  <si>
    <t xml:space="preserve">COUNT OF TICKET PENDING </t>
  </si>
  <si>
    <t>Total Tickets (Solved vs Pending)</t>
  </si>
  <si>
    <t>Stakeholders</t>
  </si>
  <si>
    <t>Escalation Criteria</t>
  </si>
  <si>
    <t>Ops Head, Senior Management</t>
  </si>
  <si>
    <t>Avg Resolution Time</t>
  </si>
  <si>
    <t>Quality / Process Manager</t>
  </si>
  <si>
    <t>Solved Ticket Distribution Across Buckets</t>
  </si>
  <si>
    <t>Ops Head</t>
  </si>
  <si>
    <t>Pending Ticket Distribution Across Buckets (Days Since Pending)</t>
  </si>
  <si>
    <t>Program Managers, Leadership</t>
  </si>
  <si>
    <t>Ticket Distribution Across Program / Handler / Issue Cat / Issue Type</t>
  </si>
  <si>
    <t>Program Owners, Team Leads, Product Heads</t>
  </si>
  <si>
    <t>Escalate if Pending &gt; 25% of total consistently for 2+ weeks</t>
  </si>
  <si>
    <t>Escalate if &gt; SLA benchmark (e.g., 7 days) for 2+ weeks</t>
  </si>
  <si>
    <t>Escalate if &gt; 40% solved tickets fall in long buckets (&gt;10 days)</t>
  </si>
  <si>
    <t>Escalate if tickets pending &gt; 20 days show week-on-week increase</t>
  </si>
  <si>
    <t>Escalate if any single dimension backlog &gt; 2× compared to others</t>
  </si>
  <si>
    <t>Ticket Distribution Across Programs</t>
  </si>
  <si>
    <t>Program Managers</t>
  </si>
  <si>
    <t>If one program consistently has highest unresolved tickets, escalate to Program Owner</t>
  </si>
  <si>
    <t>Avg Resolution Time Across Programs</t>
  </si>
  <si>
    <t>Ops Head, Quality Manager</t>
  </si>
  <si>
    <t>If resolution time in one program &gt;30% above overall average</t>
  </si>
  <si>
    <t>Ticket Volume by Program &amp; Resolution Bucket</t>
  </si>
  <si>
    <t>Program Manager, Ops Team</t>
  </si>
  <si>
    <t>If &gt;50% tickets fall in &gt;10 day bucket for a program</t>
  </si>
  <si>
    <t>Pending Tickets by Program &amp; Aging Bucket</t>
  </si>
  <si>
    <t>If aging &gt;20 days tickets &gt;10% in a single program</t>
  </si>
  <si>
    <t>OVERALL TICKET OVERVIEW</t>
  </si>
  <si>
    <t>PROGRAM OVERALL OVERVIEW</t>
  </si>
  <si>
    <t>Ticket Distribution Across Handlers</t>
  </si>
  <si>
    <t>Team Leads, HR Manager</t>
  </si>
  <si>
    <t>If ticket load imbalance &gt;2x between handlers</t>
  </si>
  <si>
    <t>Avg Resolution Time Across Handlers</t>
  </si>
  <si>
    <t>Team Leads</t>
  </si>
  <si>
    <t>If one handler’s avg &gt;30% above team average</t>
  </si>
  <si>
    <t>Ticket Volume by Handler &amp; Resolution Bucket</t>
  </si>
  <si>
    <t>Team Leads, Ops Head</t>
  </si>
  <si>
    <t>If handler repeatedly closes tickets in long buckets (&gt;10 days)</t>
  </si>
  <si>
    <t>Pending Tickets by Handler &amp; Aging Bucket</t>
  </si>
  <si>
    <t>If handler has &gt;20% tickets in &gt;20 day pending bucket</t>
  </si>
  <si>
    <t>HANDLER OVERALL OVERVIEW</t>
  </si>
  <si>
    <t>Ticket Volume Across Categories</t>
  </si>
  <si>
    <t>Functional Heads (Placement, Career, etc.)</t>
  </si>
  <si>
    <t>If one category consistently &gt;40% of backlog</t>
  </si>
  <si>
    <t>Avg Resolution Time Across Categories</t>
  </si>
  <si>
    <t>Quality Manager, Functional Head</t>
  </si>
  <si>
    <t>If category avg &gt; overall avg by &gt;30%</t>
  </si>
  <si>
    <t>Ticket Volume by Category &amp; Resolution Bucket</t>
  </si>
  <si>
    <t>Functional Head</t>
  </si>
  <si>
    <t>If most tickets in one category fall in long buckets</t>
  </si>
  <si>
    <t>Pending Tickets by Category &amp; Aging Bucket</t>
  </si>
  <si>
    <t>Functional Head, Ops Head</t>
  </si>
  <si>
    <t>If aging &gt;20 days in category &gt;10% of open tickets</t>
  </si>
  <si>
    <t>ISSUE CATEGORY OVERALL OVERVIEW</t>
  </si>
  <si>
    <t>Issue Type Overall Overview</t>
  </si>
  <si>
    <t>Escalate if one issue type dominates volume or resolution time</t>
  </si>
  <si>
    <t xml:space="preserve">Dashboard SECTION </t>
  </si>
  <si>
    <t>Section</t>
  </si>
  <si>
    <t>Details / Actions</t>
  </si>
  <si>
    <t>Process Improvements</t>
  </si>
  <si>
    <t>Automation Opportunities</t>
  </si>
  <si>
    <t>Review Frequency</t>
  </si>
  <si>
    <t>Roles</t>
  </si>
  <si>
    <t>Feedback Loops</t>
  </si>
  <si>
    <t>1.Define clear resolution timelines for each issue type so there’s no confusion.     2.Reduce manual tracking by using filters and predefined categories in the dashboard.    3. Focus on the top 2–3 recurring problems instead of spreading resources thin.</t>
  </si>
  <si>
    <t>1.Automate data pulls so the dashboard updates on its own (daily/weekly refresh).   2.  Set up simple email or Teams alerts when tickets remain open beyond SLA.   3. Generate automated weekly reports from the dashboard for managers, instead of preparing them manually.</t>
  </si>
  <si>
    <t>1.Team leads: weekly check-ins to look at pending vs resolved cases.-  2.Ops managers: monthly review to see trends and resource gaps.</t>
  </si>
  <si>
    <t>1.Share insights from the dashboard back with the teams so they can act quickly.-  2.Use reviews to check whether automation (alerts, reports) is working well.  3.Regularly close the loop by tracking if changes made actually reduce ticket spikes.</t>
  </si>
  <si>
    <t>Agents: keep tickets updated and close within timelines.  Leads:  flag overdue cases.   Managers: spot systemic issues and push fixes.</t>
  </si>
  <si>
    <t>Action / Suggestion</t>
  </si>
  <si>
    <t>External Research &amp; Benchmarking</t>
  </si>
  <si>
    <t>Benchmark avg. ticket resolution times against industry standards (e.g., 70–80% tickets close within 24–48 hrs).</t>
  </si>
  <si>
    <t>Study pending vs solved ticket ratios; mature processes usually keep pending tickets &lt;15–20% after 7 days.</t>
  </si>
  <si>
    <t>Adopt a 3-tier escalation system (L1 agent → Program Manager → Ops Head) similar to industry best practices.</t>
  </si>
  <si>
    <t>Process Automation</t>
  </si>
  <si>
    <t>Enable dashboard auto-refresh by connecting to ticketing systems (SQL, ServiceNow, Jira, or CSV exports).</t>
  </si>
  <si>
    <t>Automate weekly/monthly stakeholder reports via Power Query / Power Automate and send as PDFs.</t>
  </si>
  <si>
    <t>Predefine dashboard views (e.g., “Pending &gt;7 days by Program”) to quickly flag issues.</t>
  </si>
  <si>
    <t>Set up alerts and triggers to notify stakeholders when thresholds are breached (e.g., pending &gt;50, resolution &gt;10 days).</t>
  </si>
  <si>
    <t>Automate feedback loops by sending NPS surveys when tickets close and feeding results into 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</si>
</sst>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0"/>
      <color theme="1"/>
      <name val="Arial Unicode MS"/>
    </font>
    <font>
      <b/>
      <sz val="14"/>
      <color theme="0"/>
      <name val="Calibri"/>
      <family val="2"/>
      <scheme val="minor"/>
    </font>
    <font>
      <sz val="10"/>
      <color rgb="FF000000"/>
      <name val="Calibri"/>
      <family val="2"/>
      <scheme val="minor"/>
    </font>
    <font>
      <b/>
      <sz val="10"/>
      <color rgb="FF000000"/>
      <name val="Calibri"/>
      <family val="2"/>
      <scheme val="minor"/>
    </font>
    <font>
      <i/>
      <sz val="10"/>
      <color rgb="FF000000"/>
      <name val="Calibri"/>
      <family val="2"/>
      <scheme val="minor"/>
    </font>
    <font>
      <b/>
      <sz val="16"/>
      <color theme="1"/>
      <name val="Calibri"/>
      <family val="2"/>
      <scheme val="minor"/>
    </font>
    <font>
      <b/>
      <sz val="14"/>
      <name val="Calibri"/>
      <family val="2"/>
      <scheme val="minor"/>
    </font>
    <font>
      <sz val="8"/>
      <name val="Calibri"/>
      <family val="2"/>
      <scheme val="minor"/>
    </font>
    <font>
      <i/>
      <sz val="11"/>
      <color theme="1"/>
      <name val="Calibri"/>
      <family val="2"/>
      <scheme val="minor"/>
    </font>
    <font>
      <sz val="12"/>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249977111117893"/>
        <bgColor indexed="64"/>
      </patternFill>
    </fill>
    <fill>
      <patternFill patternType="solid">
        <fgColor rgb="FF002060"/>
        <bgColor indexed="64"/>
      </patternFill>
    </fill>
    <fill>
      <patternFill patternType="solid">
        <fgColor theme="4" tint="-0.499984740745262"/>
        <bgColor indexed="64"/>
      </patternFill>
    </fill>
    <fill>
      <patternFill patternType="solid">
        <fgColor theme="3" tint="-0.49998474074526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left"/>
    </xf>
    <xf numFmtId="0" fontId="3" fillId="0" borderId="0" xfId="0" applyFont="1"/>
    <xf numFmtId="0" fontId="0" fillId="0" borderId="1" xfId="0" applyBorder="1"/>
    <xf numFmtId="14" fontId="0" fillId="0" borderId="1" xfId="0" applyNumberFormat="1" applyBorder="1"/>
    <xf numFmtId="0" fontId="3" fillId="2" borderId="1" xfId="0" applyFont="1" applyFill="1" applyBorder="1"/>
    <xf numFmtId="0" fontId="5" fillId="2" borderId="1" xfId="0" applyFont="1" applyFill="1" applyBorder="1"/>
    <xf numFmtId="0" fontId="5" fillId="2" borderId="0" xfId="0" applyFont="1" applyFill="1"/>
    <xf numFmtId="2" fontId="5" fillId="2" borderId="1" xfId="0" applyNumberFormat="1" applyFont="1" applyFill="1" applyBorder="1"/>
    <xf numFmtId="2" fontId="0" fillId="0" borderId="1" xfId="0" applyNumberFormat="1" applyBorder="1"/>
    <xf numFmtId="2" fontId="0" fillId="0" borderId="0" xfId="0" applyNumberFormat="1"/>
    <xf numFmtId="0" fontId="0" fillId="0" borderId="2" xfId="0" applyBorder="1"/>
    <xf numFmtId="2" fontId="0" fillId="0" borderId="2" xfId="0" applyNumberFormat="1" applyBorder="1"/>
    <xf numFmtId="0" fontId="0" fillId="0" borderId="1" xfId="0" applyBorder="1" applyAlignment="1">
      <alignment vertical="top"/>
    </xf>
    <xf numFmtId="0" fontId="5" fillId="2" borderId="3" xfId="0" applyFont="1" applyFill="1" applyBorder="1"/>
    <xf numFmtId="0" fontId="3" fillId="2" borderId="1" xfId="0" applyFont="1" applyFill="1" applyBorder="1" applyAlignment="1">
      <alignment horizontal="center"/>
    </xf>
    <xf numFmtId="9" fontId="0" fillId="0" borderId="1" xfId="1" applyFont="1" applyBorder="1"/>
    <xf numFmtId="0" fontId="0" fillId="0" borderId="1" xfId="0" applyBorder="1" applyAlignment="1">
      <alignment horizontal="center"/>
    </xf>
    <xf numFmtId="14" fontId="5" fillId="2" borderId="1" xfId="0" applyNumberFormat="1" applyFont="1" applyFill="1" applyBorder="1"/>
    <xf numFmtId="0" fontId="0" fillId="0" borderId="0" xfId="0" applyAlignment="1">
      <alignment wrapText="1"/>
    </xf>
    <xf numFmtId="0" fontId="0" fillId="0" borderId="1" xfId="0" applyBorder="1" applyAlignment="1">
      <alignment wrapText="1"/>
    </xf>
    <xf numFmtId="0" fontId="0" fillId="0" borderId="1" xfId="0" applyBorder="1" applyAlignment="1">
      <alignment horizontal="center" wrapText="1"/>
    </xf>
    <xf numFmtId="0" fontId="0" fillId="0" borderId="0" xfId="0" applyAlignment="1">
      <alignment horizontal="center" wrapText="1"/>
    </xf>
    <xf numFmtId="0" fontId="3" fillId="2" borderId="1" xfId="0" applyFont="1" applyFill="1" applyBorder="1" applyAlignment="1">
      <alignment horizontal="center" wrapText="1"/>
    </xf>
    <xf numFmtId="0" fontId="9" fillId="0" borderId="0" xfId="0" applyFont="1" applyAlignment="1">
      <alignment horizontal="left" vertical="center" indent="10"/>
    </xf>
    <xf numFmtId="0" fontId="8" fillId="0" borderId="0" xfId="0" applyFont="1"/>
    <xf numFmtId="9" fontId="0" fillId="0" borderId="0" xfId="0" applyNumberFormat="1"/>
    <xf numFmtId="9" fontId="8" fillId="0" borderId="0" xfId="0" applyNumberFormat="1" applyFont="1"/>
    <xf numFmtId="9" fontId="0" fillId="0" borderId="1" xfId="0" applyNumberFormat="1" applyBorder="1"/>
    <xf numFmtId="10" fontId="0" fillId="0" borderId="1" xfId="0" applyNumberFormat="1" applyBorder="1"/>
    <xf numFmtId="0" fontId="0" fillId="0" borderId="0" xfId="0" applyAlignment="1">
      <alignment horizontal="left" vertical="center" indent="1"/>
    </xf>
    <xf numFmtId="0" fontId="8" fillId="0" borderId="0" xfId="0" applyFont="1" applyAlignment="1">
      <alignment horizontal="left" vertical="center" indent="1"/>
    </xf>
    <xf numFmtId="14" fontId="0" fillId="0" borderId="2" xfId="0" applyNumberFormat="1" applyBorder="1"/>
    <xf numFmtId="164" fontId="0" fillId="0" borderId="1" xfId="0" applyNumberFormat="1" applyBorder="1"/>
    <xf numFmtId="0" fontId="0" fillId="0" borderId="1" xfId="0" applyBorder="1" applyAlignment="1">
      <alignment horizontal="left"/>
    </xf>
    <xf numFmtId="9" fontId="0" fillId="0" borderId="1" xfId="1" applyFont="1" applyFill="1" applyBorder="1"/>
    <xf numFmtId="0" fontId="3" fillId="0" borderId="0" xfId="0" applyFont="1" applyAlignment="1">
      <alignment horizontal="left" vertical="center" indent="1"/>
    </xf>
    <xf numFmtId="0" fontId="8" fillId="0" borderId="1" xfId="0" applyFont="1" applyBorder="1" applyAlignment="1">
      <alignment horizontal="center" vertical="center" wrapText="1"/>
    </xf>
    <xf numFmtId="0" fontId="0" fillId="0" borderId="0" xfId="0" applyAlignment="1">
      <alignment horizontal="center"/>
    </xf>
    <xf numFmtId="0" fontId="7" fillId="3" borderId="1" xfId="0" applyFont="1" applyFill="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xf>
    <xf numFmtId="0" fontId="0" fillId="0" borderId="7" xfId="0" applyBorder="1" applyAlignment="1">
      <alignment horizontal="center" wrapText="1"/>
    </xf>
    <xf numFmtId="0" fontId="0" fillId="0" borderId="2" xfId="0" applyBorder="1" applyAlignment="1">
      <alignment horizontal="center" wrapText="1"/>
    </xf>
    <xf numFmtId="0" fontId="12" fillId="0" borderId="0" xfId="0" applyFont="1" applyAlignment="1">
      <alignment horizontal="center"/>
    </xf>
    <xf numFmtId="0" fontId="5" fillId="0" borderId="0" xfId="0" applyFont="1" applyAlignment="1">
      <alignment horizontal="center"/>
    </xf>
    <xf numFmtId="0" fontId="0" fillId="0" borderId="0" xfId="0" applyAlignment="1">
      <alignment horizontal="center" wrapText="1"/>
    </xf>
    <xf numFmtId="0" fontId="7" fillId="3" borderId="4" xfId="0" applyFont="1" applyFill="1" applyBorder="1" applyAlignment="1">
      <alignment horizontal="center"/>
    </xf>
    <xf numFmtId="0" fontId="11" fillId="0" borderId="0" xfId="0" applyFont="1" applyAlignment="1">
      <alignment horizontal="center"/>
    </xf>
    <xf numFmtId="0" fontId="7" fillId="4" borderId="1" xfId="0" applyFont="1" applyFill="1" applyBorder="1" applyAlignment="1">
      <alignment horizontal="center"/>
    </xf>
    <xf numFmtId="0" fontId="3" fillId="2" borderId="1" xfId="0" applyFont="1" applyFill="1" applyBorder="1" applyAlignment="1">
      <alignment horizontal="center"/>
    </xf>
    <xf numFmtId="0" fontId="3" fillId="2" borderId="7" xfId="0" applyFont="1" applyFill="1" applyBorder="1" applyAlignment="1">
      <alignment horizontal="center"/>
    </xf>
    <xf numFmtId="0" fontId="5" fillId="0" borderId="4" xfId="0" applyFont="1" applyBorder="1" applyAlignment="1">
      <alignment horizontal="center"/>
    </xf>
    <xf numFmtId="0" fontId="3" fillId="0" borderId="4" xfId="0" applyFont="1" applyBorder="1" applyAlignment="1">
      <alignment horizontal="center"/>
    </xf>
    <xf numFmtId="0" fontId="2" fillId="5" borderId="5"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3" xfId="0" applyFont="1" applyFill="1" applyBorder="1" applyAlignment="1">
      <alignment horizontal="center" vertical="center"/>
    </xf>
    <xf numFmtId="0" fontId="2" fillId="6" borderId="0" xfId="0" applyFont="1" applyFill="1" applyAlignment="1">
      <alignment horizontal="center"/>
    </xf>
    <xf numFmtId="0" fontId="3" fillId="6" borderId="0" xfId="0" applyFont="1" applyFill="1" applyAlignment="1">
      <alignment horizontal="center"/>
    </xf>
    <xf numFmtId="0" fontId="2" fillId="5" borderId="1" xfId="0" applyFont="1" applyFill="1" applyBorder="1" applyAlignment="1">
      <alignment horizontal="center"/>
    </xf>
    <xf numFmtId="0" fontId="4" fillId="5" borderId="4" xfId="0" applyFont="1" applyFill="1" applyBorder="1" applyAlignment="1">
      <alignment horizontal="center"/>
    </xf>
    <xf numFmtId="0" fontId="2" fillId="5" borderId="4" xfId="0" applyFont="1" applyFill="1" applyBorder="1" applyAlignment="1">
      <alignment horizontal="center"/>
    </xf>
    <xf numFmtId="0" fontId="0" fillId="0" borderId="0" xfId="0" applyNumberFormat="1"/>
    <xf numFmtId="0" fontId="0" fillId="0" borderId="1" xfId="0" pivotButton="1" applyBorder="1"/>
    <xf numFmtId="10" fontId="0" fillId="0" borderId="0" xfId="0" applyNumberFormat="1"/>
    <xf numFmtId="0" fontId="15" fillId="0" borderId="1" xfId="0" applyFont="1" applyBorder="1" applyAlignment="1">
      <alignment wrapText="1"/>
    </xf>
    <xf numFmtId="0" fontId="15" fillId="0" borderId="1" xfId="0" applyFont="1" applyBorder="1" applyAlignment="1">
      <alignment horizontal="left" vertical="center" wrapText="1"/>
    </xf>
    <xf numFmtId="0" fontId="0" fillId="0" borderId="1" xfId="0" applyFont="1" applyBorder="1" applyAlignment="1">
      <alignment wrapText="1"/>
    </xf>
    <xf numFmtId="0" fontId="0" fillId="0" borderId="1" xfId="0" applyBorder="1" applyAlignment="1">
      <alignment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11" fillId="2" borderId="1" xfId="0" applyFont="1" applyFill="1" applyBorder="1" applyAlignment="1">
      <alignment horizontal="center"/>
    </xf>
    <xf numFmtId="0" fontId="11" fillId="2" borderId="1" xfId="0" applyFont="1" applyFill="1" applyBorder="1" applyAlignment="1">
      <alignment horizontal="center" vertical="center" wrapText="1"/>
    </xf>
  </cellXfs>
  <cellStyles count="2">
    <cellStyle name="Normal" xfId="0" builtinId="0"/>
    <cellStyle name="Percent" xfId="1" builtinId="5"/>
  </cellStyles>
  <dxfs count="20">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microsoft.com/office/2007/relationships/slicerCache" Target="slicerCaches/slicerCache7.xml"/><Relationship Id="rId26" Type="http://schemas.microsoft.com/office/2007/relationships/slicerCache" Target="slicerCaches/slicerCache15.xml"/><Relationship Id="rId3" Type="http://schemas.openxmlformats.org/officeDocument/2006/relationships/worksheet" Target="worksheets/sheet3.xml"/><Relationship Id="rId21" Type="http://schemas.microsoft.com/office/2007/relationships/slicerCache" Target="slicerCaches/slicerCache10.xml"/><Relationship Id="rId34"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microsoft.com/office/2007/relationships/slicerCache" Target="slicerCaches/slicerCache14.xml"/><Relationship Id="rId33"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29" Type="http://schemas.microsoft.com/office/2007/relationships/slicerCache" Target="slicerCaches/slicerCache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13.xml"/><Relationship Id="rId32"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07/relationships/slicerCache" Target="slicerCaches/slicerCache12.xml"/><Relationship Id="rId28" Type="http://schemas.microsoft.com/office/2007/relationships/slicerCache" Target="slicerCaches/slicerCache17.xml"/><Relationship Id="rId10" Type="http://schemas.openxmlformats.org/officeDocument/2006/relationships/worksheet" Target="worksheets/sheet10.xml"/><Relationship Id="rId19" Type="http://schemas.microsoft.com/office/2007/relationships/slicerCache" Target="slicerCaches/slicerCache8.xml"/><Relationship Id="rId31" Type="http://schemas.microsoft.com/office/2007/relationships/slicerCache" Target="slicerCaches/slicerCache2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07/relationships/slicerCache" Target="slicerCaches/slicerCache11.xml"/><Relationship Id="rId27" Type="http://schemas.microsoft.com/office/2007/relationships/slicerCache" Target="slicerCaches/slicerCache16.xml"/><Relationship Id="rId30" Type="http://schemas.microsoft.com/office/2007/relationships/slicerCache" Target="slicerCaches/slicerCache19.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[SCALER.xlsx]BASE!PivotTable71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Avg_days_in_solved</a:t>
            </a:r>
          </a:p>
        </c:rich>
      </c:tx>
      <c:layout>
        <c:manualLayout>
          <c:xMode val="edge"/>
          <c:yMode val="edge"/>
          <c:x val="0.2534320456842506"/>
          <c:y val="5.136421273707959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2230971128609"/>
          <c:y val="0.21803477690288714"/>
          <c:w val="0.87847782936877039"/>
          <c:h val="0.68312794565977586"/>
        </c:manualLayout>
      </c:layout>
      <c:barChart>
        <c:barDir val="col"/>
        <c:grouping val="clustered"/>
        <c:varyColors val="0"/>
        <c:ser>
          <c:idx val="0"/>
          <c:order val="0"/>
          <c:tx>
            <c:strRef>
              <c:f>BASE!$EF$12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BASE!$EF$13</c:f>
              <c:strCache>
                <c:ptCount val="1"/>
                <c:pt idx="0">
                  <c:v>Total</c:v>
                </c:pt>
              </c:strCache>
            </c:strRef>
          </c:cat>
          <c:val>
            <c:numRef>
              <c:f>BASE!$EF$13</c:f>
              <c:numCache>
                <c:formatCode>0.00</c:formatCode>
                <c:ptCount val="1"/>
                <c:pt idx="0">
                  <c:v>6.7445569620253183</c:v>
                </c:pt>
              </c:numCache>
            </c:numRef>
          </c:val>
          <c:extLst>
            <c:ext xmlns:c16="http://schemas.microsoft.com/office/drawing/2014/chart" uri="{C3380CC4-5D6E-409C-BE32-E72D297353CC}">
              <c16:uniqueId val="{00000000-ED21-4642-A36A-C50567BE2068}"/>
            </c:ext>
          </c:extLst>
        </c:ser>
        <c:dLbls>
          <c:dLblPos val="outEnd"/>
          <c:showLegendKey val="0"/>
          <c:showVal val="1"/>
          <c:showCatName val="0"/>
          <c:showSerName val="0"/>
          <c:showPercent val="0"/>
          <c:showBubbleSize val="0"/>
        </c:dLbls>
        <c:gapWidth val="219"/>
        <c:overlap val="-27"/>
        <c:axId val="1359069615"/>
        <c:axId val="1359068655"/>
      </c:barChart>
      <c:catAx>
        <c:axId val="1359069615"/>
        <c:scaling>
          <c:orientation val="minMax"/>
        </c:scaling>
        <c:delete val="1"/>
        <c:axPos val="b"/>
        <c:numFmt formatCode="General" sourceLinked="1"/>
        <c:majorTickMark val="none"/>
        <c:minorTickMark val="none"/>
        <c:tickLblPos val="nextTo"/>
        <c:crossAx val="1359068655"/>
        <c:crosses val="autoZero"/>
        <c:auto val="1"/>
        <c:lblAlgn val="ctr"/>
        <c:lblOffset val="100"/>
        <c:noMultiLvlLbl val="0"/>
      </c:catAx>
      <c:valAx>
        <c:axId val="13590686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06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[SCALER.xlsx]BASE!PivotTable70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Ticket Count </a:t>
            </a:r>
          </a:p>
        </c:rich>
      </c:tx>
      <c:layout>
        <c:manualLayout>
          <c:xMode val="edge"/>
          <c:yMode val="edge"/>
          <c:x val="0.29473244600648685"/>
          <c:y val="4.25000041830712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70895304753572"/>
          <c:y val="0.25062500000000004"/>
          <c:w val="0.816994750656168"/>
          <c:h val="0.58133147419072617"/>
        </c:manualLayout>
      </c:layout>
      <c:barChart>
        <c:barDir val="col"/>
        <c:grouping val="clustered"/>
        <c:varyColors val="0"/>
        <c:ser>
          <c:idx val="0"/>
          <c:order val="0"/>
          <c:tx>
            <c:strRef>
              <c:f>BASE!$EG$6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BASE!$EF$7:$EF$9</c:f>
              <c:strCache>
                <c:ptCount val="2"/>
                <c:pt idx="0">
                  <c:v>Complete</c:v>
                </c:pt>
                <c:pt idx="1">
                  <c:v>Pending</c:v>
                </c:pt>
              </c:strCache>
            </c:strRef>
          </c:cat>
          <c:val>
            <c:numRef>
              <c:f>BASE!$EG$7:$EG$9</c:f>
              <c:numCache>
                <c:formatCode>General</c:formatCode>
                <c:ptCount val="2"/>
                <c:pt idx="0">
                  <c:v>166</c:v>
                </c:pt>
                <c:pt idx="1">
                  <c:v>59</c:v>
                </c:pt>
              </c:numCache>
            </c:numRef>
          </c:val>
          <c:extLst>
            <c:ext xmlns:c16="http://schemas.microsoft.com/office/drawing/2014/chart" uri="{C3380CC4-5D6E-409C-BE32-E72D297353CC}">
              <c16:uniqueId val="{00000000-CD44-4898-9CAB-F93BC89621BF}"/>
            </c:ext>
          </c:extLst>
        </c:ser>
        <c:dLbls>
          <c:dLblPos val="outEnd"/>
          <c:showLegendKey val="0"/>
          <c:showVal val="1"/>
          <c:showCatName val="0"/>
          <c:showSerName val="0"/>
          <c:showPercent val="0"/>
          <c:showBubbleSize val="0"/>
        </c:dLbls>
        <c:gapWidth val="219"/>
        <c:overlap val="-27"/>
        <c:axId val="1408675552"/>
        <c:axId val="1408674592"/>
      </c:barChart>
      <c:catAx>
        <c:axId val="140867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674592"/>
        <c:crosses val="autoZero"/>
        <c:auto val="1"/>
        <c:lblAlgn val="ctr"/>
        <c:lblOffset val="100"/>
        <c:noMultiLvlLbl val="0"/>
      </c:catAx>
      <c:valAx>
        <c:axId val="1408674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67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[SCALER.xlsx]BASE!PivotTable72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a:t>
            </a:r>
            <a:r>
              <a:rPr lang="en-IN" baseline="0"/>
              <a:t> of ticket in days solved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63487897346165"/>
          <c:y val="0.19486111111111112"/>
          <c:w val="0.5729420384951881"/>
          <c:h val="0.72088764946048411"/>
        </c:manualLayout>
      </c:layout>
      <c:barChart>
        <c:barDir val="col"/>
        <c:grouping val="clustered"/>
        <c:varyColors val="0"/>
        <c:ser>
          <c:idx val="0"/>
          <c:order val="0"/>
          <c:tx>
            <c:strRef>
              <c:f>BASE!$EG$17:$EG$18</c:f>
              <c:strCache>
                <c:ptCount val="1"/>
                <c:pt idx="0">
                  <c:v>1-4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BASE!$EF$19</c:f>
              <c:strCache>
                <c:ptCount val="1"/>
                <c:pt idx="0">
                  <c:v>Total</c:v>
                </c:pt>
              </c:strCache>
            </c:strRef>
          </c:cat>
          <c:val>
            <c:numRef>
              <c:f>BASE!$EG$19</c:f>
              <c:numCache>
                <c:formatCode>General</c:formatCode>
                <c:ptCount val="1"/>
                <c:pt idx="0">
                  <c:v>39</c:v>
                </c:pt>
              </c:numCache>
            </c:numRef>
          </c:val>
          <c:extLst>
            <c:ext xmlns:c16="http://schemas.microsoft.com/office/drawing/2014/chart" uri="{C3380CC4-5D6E-409C-BE32-E72D297353CC}">
              <c16:uniqueId val="{00000000-AEE4-4F36-9550-4BB4D82C98C4}"/>
            </c:ext>
          </c:extLst>
        </c:ser>
        <c:ser>
          <c:idx val="1"/>
          <c:order val="1"/>
          <c:tx>
            <c:strRef>
              <c:f>BASE!$EH$17:$EH$18</c:f>
              <c:strCache>
                <c:ptCount val="1"/>
                <c:pt idx="0">
                  <c:v>5-8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BASE!$EF$19</c:f>
              <c:strCache>
                <c:ptCount val="1"/>
                <c:pt idx="0">
                  <c:v>Total</c:v>
                </c:pt>
              </c:strCache>
            </c:strRef>
          </c:cat>
          <c:val>
            <c:numRef>
              <c:f>BASE!$EH$19</c:f>
              <c:numCache>
                <c:formatCode>General</c:formatCode>
                <c:ptCount val="1"/>
                <c:pt idx="0">
                  <c:v>58</c:v>
                </c:pt>
              </c:numCache>
            </c:numRef>
          </c:val>
          <c:extLst>
            <c:ext xmlns:c16="http://schemas.microsoft.com/office/drawing/2014/chart" uri="{C3380CC4-5D6E-409C-BE32-E72D297353CC}">
              <c16:uniqueId val="{00000008-7FBC-4C2B-AB3E-58A0769DB947}"/>
            </c:ext>
          </c:extLst>
        </c:ser>
        <c:ser>
          <c:idx val="2"/>
          <c:order val="2"/>
          <c:tx>
            <c:strRef>
              <c:f>BASE!$EI$17:$EI$18</c:f>
              <c:strCache>
                <c:ptCount val="1"/>
                <c:pt idx="0">
                  <c:v>9-12 days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BASE!$EF$19</c:f>
              <c:strCache>
                <c:ptCount val="1"/>
                <c:pt idx="0">
                  <c:v>Total</c:v>
                </c:pt>
              </c:strCache>
            </c:strRef>
          </c:cat>
          <c:val>
            <c:numRef>
              <c:f>BASE!$EI$19</c:f>
              <c:numCache>
                <c:formatCode>General</c:formatCode>
                <c:ptCount val="1"/>
                <c:pt idx="0">
                  <c:v>61</c:v>
                </c:pt>
              </c:numCache>
            </c:numRef>
          </c:val>
          <c:extLst>
            <c:ext xmlns:c16="http://schemas.microsoft.com/office/drawing/2014/chart" uri="{C3380CC4-5D6E-409C-BE32-E72D297353CC}">
              <c16:uniqueId val="{00000009-7FBC-4C2B-AB3E-58A0769DB947}"/>
            </c:ext>
          </c:extLst>
        </c:ser>
        <c:ser>
          <c:idx val="3"/>
          <c:order val="3"/>
          <c:tx>
            <c:strRef>
              <c:f>BASE!$EJ$17:$EJ$18</c:f>
              <c:strCache>
                <c:ptCount val="1"/>
                <c:pt idx="0">
                  <c:v>Issue_solved_date_absent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BASE!$EF$19</c:f>
              <c:strCache>
                <c:ptCount val="1"/>
                <c:pt idx="0">
                  <c:v>Total</c:v>
                </c:pt>
              </c:strCache>
            </c:strRef>
          </c:cat>
          <c:val>
            <c:numRef>
              <c:f>BASE!$EJ$19</c:f>
              <c:numCache>
                <c:formatCode>General</c:formatCode>
                <c:ptCount val="1"/>
                <c:pt idx="0">
                  <c:v>8</c:v>
                </c:pt>
              </c:numCache>
            </c:numRef>
          </c:val>
          <c:extLst>
            <c:ext xmlns:c16="http://schemas.microsoft.com/office/drawing/2014/chart" uri="{C3380CC4-5D6E-409C-BE32-E72D297353CC}">
              <c16:uniqueId val="{0000000A-7FBC-4C2B-AB3E-58A0769DB947}"/>
            </c:ext>
          </c:extLst>
        </c:ser>
        <c:dLbls>
          <c:dLblPos val="outEnd"/>
          <c:showLegendKey val="0"/>
          <c:showVal val="1"/>
          <c:showCatName val="0"/>
          <c:showSerName val="0"/>
          <c:showPercent val="0"/>
          <c:showBubbleSize val="0"/>
        </c:dLbls>
        <c:gapWidth val="219"/>
        <c:overlap val="-27"/>
        <c:axId val="1145855343"/>
        <c:axId val="1145857263"/>
      </c:barChart>
      <c:catAx>
        <c:axId val="114585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857263"/>
        <c:crosses val="autoZero"/>
        <c:auto val="1"/>
        <c:lblAlgn val="ctr"/>
        <c:lblOffset val="100"/>
        <c:noMultiLvlLbl val="0"/>
      </c:catAx>
      <c:valAx>
        <c:axId val="1145857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85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[SCALER.xlsx]BASE!PivotTable73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Days</a:t>
            </a:r>
            <a:r>
              <a:rPr lang="en-IN" baseline="0"/>
              <a:t> since Ticket pending Bucket count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4759405074368"/>
          <c:y val="0.1414967363001742"/>
          <c:w val="0.74455336832895891"/>
          <c:h val="0.77425227828170295"/>
        </c:manualLayout>
      </c:layout>
      <c:barChart>
        <c:barDir val="col"/>
        <c:grouping val="clustered"/>
        <c:varyColors val="0"/>
        <c:ser>
          <c:idx val="0"/>
          <c:order val="0"/>
          <c:tx>
            <c:strRef>
              <c:f>BASE!$EG$21:$EG$22</c:f>
              <c:strCache>
                <c:ptCount val="1"/>
                <c:pt idx="0">
                  <c:v>&gt;20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BASE!$EF$23</c:f>
              <c:strCache>
                <c:ptCount val="1"/>
                <c:pt idx="0">
                  <c:v>Total</c:v>
                </c:pt>
              </c:strCache>
            </c:strRef>
          </c:cat>
          <c:val>
            <c:numRef>
              <c:f>BASE!$EG$23</c:f>
              <c:numCache>
                <c:formatCode>General</c:formatCode>
                <c:ptCount val="1"/>
                <c:pt idx="0">
                  <c:v>40</c:v>
                </c:pt>
              </c:numCache>
            </c:numRef>
          </c:val>
          <c:extLst>
            <c:ext xmlns:c16="http://schemas.microsoft.com/office/drawing/2014/chart" uri="{C3380CC4-5D6E-409C-BE32-E72D297353CC}">
              <c16:uniqueId val="{00000000-5B56-4709-A6C2-7122E8054136}"/>
            </c:ext>
          </c:extLst>
        </c:ser>
        <c:ser>
          <c:idx val="1"/>
          <c:order val="1"/>
          <c:tx>
            <c:strRef>
              <c:f>BASE!$EH$21:$EH$22</c:f>
              <c:strCache>
                <c:ptCount val="1"/>
                <c:pt idx="0">
                  <c:v>8-20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BASE!$EF$23</c:f>
              <c:strCache>
                <c:ptCount val="1"/>
                <c:pt idx="0">
                  <c:v>Total</c:v>
                </c:pt>
              </c:strCache>
            </c:strRef>
          </c:cat>
          <c:val>
            <c:numRef>
              <c:f>BASE!$EH$23</c:f>
              <c:numCache>
                <c:formatCode>General</c:formatCode>
                <c:ptCount val="1"/>
                <c:pt idx="0">
                  <c:v>19</c:v>
                </c:pt>
              </c:numCache>
            </c:numRef>
          </c:val>
          <c:extLst>
            <c:ext xmlns:c16="http://schemas.microsoft.com/office/drawing/2014/chart" uri="{C3380CC4-5D6E-409C-BE32-E72D297353CC}">
              <c16:uniqueId val="{00000006-5B56-4709-A6C2-7122E8054136}"/>
            </c:ext>
          </c:extLst>
        </c:ser>
        <c:dLbls>
          <c:dLblPos val="outEnd"/>
          <c:showLegendKey val="0"/>
          <c:showVal val="1"/>
          <c:showCatName val="0"/>
          <c:showSerName val="0"/>
          <c:showPercent val="0"/>
          <c:showBubbleSize val="0"/>
        </c:dLbls>
        <c:gapWidth val="219"/>
        <c:overlap val="-27"/>
        <c:axId val="1118404239"/>
        <c:axId val="1118404719"/>
      </c:barChart>
      <c:catAx>
        <c:axId val="111840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404719"/>
        <c:crosses val="autoZero"/>
        <c:auto val="1"/>
        <c:lblAlgn val="ctr"/>
        <c:lblOffset val="100"/>
        <c:noMultiLvlLbl val="0"/>
      </c:catAx>
      <c:valAx>
        <c:axId val="1118404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40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BASE!$EV$4:$EV$5</c:f>
              <c:strCache>
                <c:ptCount val="1"/>
                <c:pt idx="0">
                  <c:v>Complete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BASE!$EU$6:$EU$10</c:f>
              <c:strCache>
                <c:ptCount val="4"/>
                <c:pt idx="0">
                  <c:v>DSML</c:v>
                </c:pt>
                <c:pt idx="1">
                  <c:v>Academy</c:v>
                </c:pt>
                <c:pt idx="2">
                  <c:v>DevOps</c:v>
                </c:pt>
                <c:pt idx="3">
                  <c:v>AIML</c:v>
                </c:pt>
              </c:strCache>
            </c:strRef>
          </c:cat>
          <c:val>
            <c:numRef>
              <c:f>BASE!$EV$6:$EV$10</c:f>
              <c:numCache>
                <c:formatCode>General</c:formatCode>
                <c:ptCount val="4"/>
                <c:pt idx="0">
                  <c:v>45</c:v>
                </c:pt>
                <c:pt idx="1">
                  <c:v>46</c:v>
                </c:pt>
                <c:pt idx="2">
                  <c:v>37</c:v>
                </c:pt>
                <c:pt idx="3">
                  <c:v>38</c:v>
                </c:pt>
              </c:numCache>
            </c:numRef>
          </c:val>
          <c:extLst>
            <c:ext xmlns:c16="http://schemas.microsoft.com/office/drawing/2014/chart" uri="{C3380CC4-5D6E-409C-BE32-E72D297353CC}">
              <c16:uniqueId val="{00000000-B314-4512-9162-F54A3F3C6EB5}"/>
            </c:ext>
          </c:extLst>
        </c:ser>
        <c:ser>
          <c:idx val="1"/>
          <c:order val="1"/>
          <c:tx>
            <c:strRef>
              <c:f>BASE!$EW$4:$EW$5</c:f>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BASE!$EU$6:$EU$10</c:f>
              <c:strCache>
                <c:ptCount val="4"/>
                <c:pt idx="0">
                  <c:v>DSML</c:v>
                </c:pt>
                <c:pt idx="1">
                  <c:v>Academy</c:v>
                </c:pt>
                <c:pt idx="2">
                  <c:v>DevOps</c:v>
                </c:pt>
                <c:pt idx="3">
                  <c:v>AIML</c:v>
                </c:pt>
              </c:strCache>
            </c:strRef>
          </c:cat>
          <c:val>
            <c:numRef>
              <c:f>BASE!$EW$6:$EW$10</c:f>
              <c:numCache>
                <c:formatCode>General</c:formatCode>
                <c:ptCount val="4"/>
                <c:pt idx="0">
                  <c:v>18</c:v>
                </c:pt>
                <c:pt idx="1">
                  <c:v>17</c:v>
                </c:pt>
                <c:pt idx="2">
                  <c:v>15</c:v>
                </c:pt>
                <c:pt idx="3">
                  <c:v>9</c:v>
                </c:pt>
              </c:numCache>
            </c:numRef>
          </c:val>
          <c:extLst>
            <c:ext xmlns:c16="http://schemas.microsoft.com/office/drawing/2014/chart" uri="{C3380CC4-5D6E-409C-BE32-E72D297353CC}">
              <c16:uniqueId val="{00000001-B314-4512-9162-F54A3F3C6EB5}"/>
            </c:ext>
          </c:extLst>
        </c:ser>
        <c:dLbls>
          <c:dLblPos val="outEnd"/>
          <c:showLegendKey val="0"/>
          <c:showVal val="1"/>
          <c:showCatName val="0"/>
          <c:showSerName val="0"/>
          <c:showPercent val="0"/>
          <c:showBubbleSize val="0"/>
        </c:dLbls>
        <c:gapWidth val="219"/>
        <c:overlap val="-27"/>
        <c:axId val="711318960"/>
        <c:axId val="711315600"/>
      </c:barChart>
      <c:catAx>
        <c:axId val="71131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15600"/>
        <c:crosses val="autoZero"/>
        <c:auto val="1"/>
        <c:lblAlgn val="ctr"/>
        <c:lblOffset val="100"/>
        <c:noMultiLvlLbl val="0"/>
      </c:catAx>
      <c:valAx>
        <c:axId val="71131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1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BASE!$EV$22:$EV$23</c:f>
              <c:strCache>
                <c:ptCount val="1"/>
                <c:pt idx="0">
                  <c:v>&gt;20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BASE!$EU$24:$EU$28</c:f>
              <c:strCache>
                <c:ptCount val="4"/>
                <c:pt idx="0">
                  <c:v>DSML</c:v>
                </c:pt>
                <c:pt idx="1">
                  <c:v>Academy</c:v>
                </c:pt>
                <c:pt idx="2">
                  <c:v>DevOps</c:v>
                </c:pt>
                <c:pt idx="3">
                  <c:v>AIML</c:v>
                </c:pt>
              </c:strCache>
            </c:strRef>
          </c:cat>
          <c:val>
            <c:numRef>
              <c:f>BASE!$EV$24:$EV$28</c:f>
              <c:numCache>
                <c:formatCode>General</c:formatCode>
                <c:ptCount val="4"/>
                <c:pt idx="0">
                  <c:v>15</c:v>
                </c:pt>
                <c:pt idx="1">
                  <c:v>10</c:v>
                </c:pt>
                <c:pt idx="2">
                  <c:v>7</c:v>
                </c:pt>
                <c:pt idx="3">
                  <c:v>8</c:v>
                </c:pt>
              </c:numCache>
            </c:numRef>
          </c:val>
          <c:extLst>
            <c:ext xmlns:c16="http://schemas.microsoft.com/office/drawing/2014/chart" uri="{C3380CC4-5D6E-409C-BE32-E72D297353CC}">
              <c16:uniqueId val="{00000000-329B-494C-879C-29DA4554275C}"/>
            </c:ext>
          </c:extLst>
        </c:ser>
        <c:ser>
          <c:idx val="1"/>
          <c:order val="1"/>
          <c:tx>
            <c:strRef>
              <c:f>BASE!$EW$22:$EW$23</c:f>
              <c:strCache>
                <c:ptCount val="1"/>
                <c:pt idx="0">
                  <c:v>8-20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BASE!$EU$24:$EU$28</c:f>
              <c:strCache>
                <c:ptCount val="4"/>
                <c:pt idx="0">
                  <c:v>DSML</c:v>
                </c:pt>
                <c:pt idx="1">
                  <c:v>Academy</c:v>
                </c:pt>
                <c:pt idx="2">
                  <c:v>DevOps</c:v>
                </c:pt>
                <c:pt idx="3">
                  <c:v>AIML</c:v>
                </c:pt>
              </c:strCache>
            </c:strRef>
          </c:cat>
          <c:val>
            <c:numRef>
              <c:f>BASE!$EW$24:$EW$28</c:f>
              <c:numCache>
                <c:formatCode>General</c:formatCode>
                <c:ptCount val="4"/>
                <c:pt idx="0">
                  <c:v>3</c:v>
                </c:pt>
                <c:pt idx="1">
                  <c:v>7</c:v>
                </c:pt>
                <c:pt idx="2">
                  <c:v>8</c:v>
                </c:pt>
                <c:pt idx="3">
                  <c:v>1</c:v>
                </c:pt>
              </c:numCache>
            </c:numRef>
          </c:val>
          <c:extLst>
            <c:ext xmlns:c16="http://schemas.microsoft.com/office/drawing/2014/chart" uri="{C3380CC4-5D6E-409C-BE32-E72D297353CC}">
              <c16:uniqueId val="{00000004-329B-494C-879C-29DA4554275C}"/>
            </c:ext>
          </c:extLst>
        </c:ser>
        <c:dLbls>
          <c:dLblPos val="outEnd"/>
          <c:showLegendKey val="0"/>
          <c:showVal val="1"/>
          <c:showCatName val="0"/>
          <c:showSerName val="0"/>
          <c:showPercent val="0"/>
          <c:showBubbleSize val="0"/>
        </c:dLbls>
        <c:gapWidth val="182"/>
        <c:axId val="720932192"/>
        <c:axId val="720927872"/>
      </c:barChart>
      <c:catAx>
        <c:axId val="72093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927872"/>
        <c:crosses val="autoZero"/>
        <c:auto val="1"/>
        <c:lblAlgn val="ctr"/>
        <c:lblOffset val="100"/>
        <c:noMultiLvlLbl val="0"/>
      </c:catAx>
      <c:valAx>
        <c:axId val="72092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93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BASE!$EV$13:$EV$14</c:f>
              <c:strCache>
                <c:ptCount val="1"/>
                <c:pt idx="0">
                  <c:v>1-4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BASE!$EU$15:$EU$19</c:f>
              <c:strCache>
                <c:ptCount val="4"/>
                <c:pt idx="0">
                  <c:v>DSML</c:v>
                </c:pt>
                <c:pt idx="1">
                  <c:v>Academy</c:v>
                </c:pt>
                <c:pt idx="2">
                  <c:v>AIML</c:v>
                </c:pt>
                <c:pt idx="3">
                  <c:v>DevOps</c:v>
                </c:pt>
              </c:strCache>
            </c:strRef>
          </c:cat>
          <c:val>
            <c:numRef>
              <c:f>BASE!$EV$15:$EV$19</c:f>
              <c:numCache>
                <c:formatCode>General</c:formatCode>
                <c:ptCount val="4"/>
                <c:pt idx="0">
                  <c:v>11</c:v>
                </c:pt>
                <c:pt idx="1">
                  <c:v>11</c:v>
                </c:pt>
                <c:pt idx="2">
                  <c:v>8</c:v>
                </c:pt>
                <c:pt idx="3">
                  <c:v>9</c:v>
                </c:pt>
              </c:numCache>
            </c:numRef>
          </c:val>
          <c:extLst>
            <c:ext xmlns:c16="http://schemas.microsoft.com/office/drawing/2014/chart" uri="{C3380CC4-5D6E-409C-BE32-E72D297353CC}">
              <c16:uniqueId val="{00000000-6672-408D-AA30-B0579420DB35}"/>
            </c:ext>
          </c:extLst>
        </c:ser>
        <c:ser>
          <c:idx val="1"/>
          <c:order val="1"/>
          <c:tx>
            <c:strRef>
              <c:f>BASE!$EW$13:$EW$14</c:f>
              <c:strCache>
                <c:ptCount val="1"/>
                <c:pt idx="0">
                  <c:v>5-8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BASE!$EU$15:$EU$19</c:f>
              <c:strCache>
                <c:ptCount val="4"/>
                <c:pt idx="0">
                  <c:v>DSML</c:v>
                </c:pt>
                <c:pt idx="1">
                  <c:v>Academy</c:v>
                </c:pt>
                <c:pt idx="2">
                  <c:v>AIML</c:v>
                </c:pt>
                <c:pt idx="3">
                  <c:v>DevOps</c:v>
                </c:pt>
              </c:strCache>
            </c:strRef>
          </c:cat>
          <c:val>
            <c:numRef>
              <c:f>BASE!$EW$15:$EW$19</c:f>
              <c:numCache>
                <c:formatCode>General</c:formatCode>
                <c:ptCount val="4"/>
                <c:pt idx="0">
                  <c:v>15</c:v>
                </c:pt>
                <c:pt idx="1">
                  <c:v>16</c:v>
                </c:pt>
                <c:pt idx="2">
                  <c:v>16</c:v>
                </c:pt>
                <c:pt idx="3">
                  <c:v>11</c:v>
                </c:pt>
              </c:numCache>
            </c:numRef>
          </c:val>
          <c:extLst>
            <c:ext xmlns:c16="http://schemas.microsoft.com/office/drawing/2014/chart" uri="{C3380CC4-5D6E-409C-BE32-E72D297353CC}">
              <c16:uniqueId val="{00000001-6672-408D-AA30-B0579420DB35}"/>
            </c:ext>
          </c:extLst>
        </c:ser>
        <c:ser>
          <c:idx val="2"/>
          <c:order val="2"/>
          <c:tx>
            <c:strRef>
              <c:f>BASE!$EX$13:$EX$14</c:f>
              <c:strCache>
                <c:ptCount val="1"/>
                <c:pt idx="0">
                  <c:v>9-12 days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BASE!$EU$15:$EU$19</c:f>
              <c:strCache>
                <c:ptCount val="4"/>
                <c:pt idx="0">
                  <c:v>DSML</c:v>
                </c:pt>
                <c:pt idx="1">
                  <c:v>Academy</c:v>
                </c:pt>
                <c:pt idx="2">
                  <c:v>AIML</c:v>
                </c:pt>
                <c:pt idx="3">
                  <c:v>DevOps</c:v>
                </c:pt>
              </c:strCache>
            </c:strRef>
          </c:cat>
          <c:val>
            <c:numRef>
              <c:f>BASE!$EX$15:$EX$19</c:f>
              <c:numCache>
                <c:formatCode>General</c:formatCode>
                <c:ptCount val="4"/>
                <c:pt idx="0">
                  <c:v>18</c:v>
                </c:pt>
                <c:pt idx="1">
                  <c:v>13</c:v>
                </c:pt>
                <c:pt idx="2">
                  <c:v>14</c:v>
                </c:pt>
                <c:pt idx="3">
                  <c:v>16</c:v>
                </c:pt>
              </c:numCache>
            </c:numRef>
          </c:val>
          <c:extLst>
            <c:ext xmlns:c16="http://schemas.microsoft.com/office/drawing/2014/chart" uri="{C3380CC4-5D6E-409C-BE32-E72D297353CC}">
              <c16:uniqueId val="{00000002-6672-408D-AA30-B0579420DB35}"/>
            </c:ext>
          </c:extLst>
        </c:ser>
        <c:dLbls>
          <c:dLblPos val="outEnd"/>
          <c:showLegendKey val="0"/>
          <c:showVal val="1"/>
          <c:showCatName val="0"/>
          <c:showSerName val="0"/>
          <c:showPercent val="0"/>
          <c:showBubbleSize val="0"/>
        </c:dLbls>
        <c:gapWidth val="182"/>
        <c:axId val="559387616"/>
        <c:axId val="559387136"/>
      </c:barChart>
      <c:catAx>
        <c:axId val="55938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87136"/>
        <c:crosses val="autoZero"/>
        <c:auto val="1"/>
        <c:lblAlgn val="ctr"/>
        <c:lblOffset val="100"/>
        <c:noMultiLvlLbl val="0"/>
      </c:catAx>
      <c:valAx>
        <c:axId val="559387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8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BASE!$EV$30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BASE!$EU$31:$EU$35</c:f>
              <c:strCache>
                <c:ptCount val="4"/>
                <c:pt idx="0">
                  <c:v>DevOps</c:v>
                </c:pt>
                <c:pt idx="1">
                  <c:v>AIML</c:v>
                </c:pt>
                <c:pt idx="2">
                  <c:v>DSML</c:v>
                </c:pt>
                <c:pt idx="3">
                  <c:v>Academy</c:v>
                </c:pt>
              </c:strCache>
            </c:strRef>
          </c:cat>
          <c:val>
            <c:numRef>
              <c:f>BASE!$EV$31:$EV$35</c:f>
              <c:numCache>
                <c:formatCode>0.00</c:formatCode>
                <c:ptCount val="4"/>
                <c:pt idx="0">
                  <c:v>7.1947222222222216</c:v>
                </c:pt>
                <c:pt idx="1">
                  <c:v>6.897368421052632</c:v>
                </c:pt>
                <c:pt idx="2">
                  <c:v>6.871363636363637</c:v>
                </c:pt>
                <c:pt idx="3">
                  <c:v>6.0547500000000003</c:v>
                </c:pt>
              </c:numCache>
            </c:numRef>
          </c:val>
          <c:extLst>
            <c:ext xmlns:c16="http://schemas.microsoft.com/office/drawing/2014/chart" uri="{C3380CC4-5D6E-409C-BE32-E72D297353CC}">
              <c16:uniqueId val="{00000000-F84E-4070-8A9A-6C06A4E6A642}"/>
            </c:ext>
          </c:extLst>
        </c:ser>
        <c:dLbls>
          <c:dLblPos val="outEnd"/>
          <c:showLegendKey val="0"/>
          <c:showVal val="1"/>
          <c:showCatName val="0"/>
          <c:showSerName val="0"/>
          <c:showPercent val="0"/>
          <c:showBubbleSize val="0"/>
        </c:dLbls>
        <c:gapWidth val="219"/>
        <c:overlap val="-27"/>
        <c:axId val="717424976"/>
        <c:axId val="717424496"/>
      </c:barChart>
      <c:catAx>
        <c:axId val="71742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24496"/>
        <c:crosses val="autoZero"/>
        <c:auto val="1"/>
        <c:lblAlgn val="ctr"/>
        <c:lblOffset val="100"/>
        <c:noMultiLvlLbl val="0"/>
      </c:catAx>
      <c:valAx>
        <c:axId val="7174244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2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BASE!$BA$2:$BA$3</c:f>
              <c:strCache>
                <c:ptCount val="1"/>
                <c:pt idx="0">
                  <c:v>Complete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BASE!$AZ$4:$AZ$8</c:f>
              <c:strCache>
                <c:ptCount val="4"/>
                <c:pt idx="0">
                  <c:v>Program &amp; Classroom (NPS)</c:v>
                </c:pt>
                <c:pt idx="1">
                  <c:v>Placement (NPS)</c:v>
                </c:pt>
                <c:pt idx="2">
                  <c:v>Others (NPS)</c:v>
                </c:pt>
                <c:pt idx="3">
                  <c:v>Tech (NPS)</c:v>
                </c:pt>
              </c:strCache>
            </c:strRef>
          </c:cat>
          <c:val>
            <c:numRef>
              <c:f>BASE!$BA$4:$BA$8</c:f>
              <c:numCache>
                <c:formatCode>General</c:formatCode>
                <c:ptCount val="4"/>
                <c:pt idx="0">
                  <c:v>62</c:v>
                </c:pt>
                <c:pt idx="1">
                  <c:v>57</c:v>
                </c:pt>
                <c:pt idx="2">
                  <c:v>27</c:v>
                </c:pt>
                <c:pt idx="3">
                  <c:v>20</c:v>
                </c:pt>
              </c:numCache>
            </c:numRef>
          </c:val>
          <c:extLst>
            <c:ext xmlns:c16="http://schemas.microsoft.com/office/drawing/2014/chart" uri="{C3380CC4-5D6E-409C-BE32-E72D297353CC}">
              <c16:uniqueId val="{00000000-27D5-4436-B8D0-88D704A9CF59}"/>
            </c:ext>
          </c:extLst>
        </c:ser>
        <c:ser>
          <c:idx val="1"/>
          <c:order val="1"/>
          <c:tx>
            <c:strRef>
              <c:f>BASE!$BB$2:$BB$3</c:f>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BASE!$AZ$4:$AZ$8</c:f>
              <c:strCache>
                <c:ptCount val="4"/>
                <c:pt idx="0">
                  <c:v>Program &amp; Classroom (NPS)</c:v>
                </c:pt>
                <c:pt idx="1">
                  <c:v>Placement (NPS)</c:v>
                </c:pt>
                <c:pt idx="2">
                  <c:v>Others (NPS)</c:v>
                </c:pt>
                <c:pt idx="3">
                  <c:v>Tech (NPS)</c:v>
                </c:pt>
              </c:strCache>
            </c:strRef>
          </c:cat>
          <c:val>
            <c:numRef>
              <c:f>BASE!$BB$4:$BB$8</c:f>
              <c:numCache>
                <c:formatCode>General</c:formatCode>
                <c:ptCount val="4"/>
                <c:pt idx="0">
                  <c:v>18</c:v>
                </c:pt>
                <c:pt idx="1">
                  <c:v>21</c:v>
                </c:pt>
                <c:pt idx="2">
                  <c:v>10</c:v>
                </c:pt>
                <c:pt idx="3">
                  <c:v>10</c:v>
                </c:pt>
              </c:numCache>
            </c:numRef>
          </c:val>
          <c:extLst>
            <c:ext xmlns:c16="http://schemas.microsoft.com/office/drawing/2014/chart" uri="{C3380CC4-5D6E-409C-BE32-E72D297353CC}">
              <c16:uniqueId val="{00000001-27D5-4436-B8D0-88D704A9CF59}"/>
            </c:ext>
          </c:extLst>
        </c:ser>
        <c:dLbls>
          <c:dLblPos val="outEnd"/>
          <c:showLegendKey val="0"/>
          <c:showVal val="1"/>
          <c:showCatName val="0"/>
          <c:showSerName val="0"/>
          <c:showPercent val="0"/>
          <c:showBubbleSize val="0"/>
        </c:dLbls>
        <c:gapWidth val="219"/>
        <c:overlap val="-27"/>
        <c:axId val="441377264"/>
        <c:axId val="550262848"/>
      </c:barChart>
      <c:catAx>
        <c:axId val="44137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62848"/>
        <c:crosses val="autoZero"/>
        <c:auto val="1"/>
        <c:lblAlgn val="ctr"/>
        <c:lblOffset val="100"/>
        <c:noMultiLvlLbl val="0"/>
      </c:catAx>
      <c:valAx>
        <c:axId val="550262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7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BASE!$BA$12:$BA$13</c:f>
              <c:strCache>
                <c:ptCount val="1"/>
                <c:pt idx="0">
                  <c:v>1-4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BASE!$AZ$14:$AZ$18</c:f>
              <c:strCache>
                <c:ptCount val="4"/>
                <c:pt idx="0">
                  <c:v>Program &amp; Classroom (NPS)</c:v>
                </c:pt>
                <c:pt idx="1">
                  <c:v>Placement (NPS)</c:v>
                </c:pt>
                <c:pt idx="2">
                  <c:v>Others (NPS)</c:v>
                </c:pt>
                <c:pt idx="3">
                  <c:v>Tech (NPS)</c:v>
                </c:pt>
              </c:strCache>
            </c:strRef>
          </c:cat>
          <c:val>
            <c:numRef>
              <c:f>BASE!$BA$14:$BA$18</c:f>
              <c:numCache>
                <c:formatCode>General</c:formatCode>
                <c:ptCount val="4"/>
                <c:pt idx="0">
                  <c:v>19</c:v>
                </c:pt>
                <c:pt idx="1">
                  <c:v>11</c:v>
                </c:pt>
                <c:pt idx="2">
                  <c:v>3</c:v>
                </c:pt>
                <c:pt idx="3">
                  <c:v>6</c:v>
                </c:pt>
              </c:numCache>
            </c:numRef>
          </c:val>
          <c:extLst>
            <c:ext xmlns:c16="http://schemas.microsoft.com/office/drawing/2014/chart" uri="{C3380CC4-5D6E-409C-BE32-E72D297353CC}">
              <c16:uniqueId val="{00000000-96E8-49D2-84CA-E8ACC5ACB12C}"/>
            </c:ext>
          </c:extLst>
        </c:ser>
        <c:ser>
          <c:idx val="1"/>
          <c:order val="1"/>
          <c:tx>
            <c:strRef>
              <c:f>BASE!$BB$12:$BB$13</c:f>
              <c:strCache>
                <c:ptCount val="1"/>
                <c:pt idx="0">
                  <c:v>5-8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BASE!$AZ$14:$AZ$18</c:f>
              <c:strCache>
                <c:ptCount val="4"/>
                <c:pt idx="0">
                  <c:v>Program &amp; Classroom (NPS)</c:v>
                </c:pt>
                <c:pt idx="1">
                  <c:v>Placement (NPS)</c:v>
                </c:pt>
                <c:pt idx="2">
                  <c:v>Others (NPS)</c:v>
                </c:pt>
                <c:pt idx="3">
                  <c:v>Tech (NPS)</c:v>
                </c:pt>
              </c:strCache>
            </c:strRef>
          </c:cat>
          <c:val>
            <c:numRef>
              <c:f>BASE!$BB$14:$BB$18</c:f>
              <c:numCache>
                <c:formatCode>General</c:formatCode>
                <c:ptCount val="4"/>
                <c:pt idx="0">
                  <c:v>19</c:v>
                </c:pt>
                <c:pt idx="1">
                  <c:v>20</c:v>
                </c:pt>
                <c:pt idx="2">
                  <c:v>11</c:v>
                </c:pt>
                <c:pt idx="3">
                  <c:v>8</c:v>
                </c:pt>
              </c:numCache>
            </c:numRef>
          </c:val>
          <c:extLst>
            <c:ext xmlns:c16="http://schemas.microsoft.com/office/drawing/2014/chart" uri="{C3380CC4-5D6E-409C-BE32-E72D297353CC}">
              <c16:uniqueId val="{00000001-96E8-49D2-84CA-E8ACC5ACB12C}"/>
            </c:ext>
          </c:extLst>
        </c:ser>
        <c:ser>
          <c:idx val="2"/>
          <c:order val="2"/>
          <c:tx>
            <c:strRef>
              <c:f>BASE!$BC$12:$BC$13</c:f>
              <c:strCache>
                <c:ptCount val="1"/>
                <c:pt idx="0">
                  <c:v>9-12 days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BASE!$AZ$14:$AZ$18</c:f>
              <c:strCache>
                <c:ptCount val="4"/>
                <c:pt idx="0">
                  <c:v>Program &amp; Classroom (NPS)</c:v>
                </c:pt>
                <c:pt idx="1">
                  <c:v>Placement (NPS)</c:v>
                </c:pt>
                <c:pt idx="2">
                  <c:v>Others (NPS)</c:v>
                </c:pt>
                <c:pt idx="3">
                  <c:v>Tech (NPS)</c:v>
                </c:pt>
              </c:strCache>
            </c:strRef>
          </c:cat>
          <c:val>
            <c:numRef>
              <c:f>BASE!$BC$14:$BC$18</c:f>
              <c:numCache>
                <c:formatCode>General</c:formatCode>
                <c:ptCount val="4"/>
                <c:pt idx="0">
                  <c:v>22</c:v>
                </c:pt>
                <c:pt idx="1">
                  <c:v>22</c:v>
                </c:pt>
                <c:pt idx="2">
                  <c:v>12</c:v>
                </c:pt>
                <c:pt idx="3">
                  <c:v>5</c:v>
                </c:pt>
              </c:numCache>
            </c:numRef>
          </c:val>
          <c:extLst>
            <c:ext xmlns:c16="http://schemas.microsoft.com/office/drawing/2014/chart" uri="{C3380CC4-5D6E-409C-BE32-E72D297353CC}">
              <c16:uniqueId val="{00000002-96E8-49D2-84CA-E8ACC5ACB12C}"/>
            </c:ext>
          </c:extLst>
        </c:ser>
        <c:dLbls>
          <c:dLblPos val="outEnd"/>
          <c:showLegendKey val="0"/>
          <c:showVal val="1"/>
          <c:showCatName val="0"/>
          <c:showSerName val="0"/>
          <c:showPercent val="0"/>
          <c:showBubbleSize val="0"/>
        </c:dLbls>
        <c:gapWidth val="182"/>
        <c:axId val="939147600"/>
        <c:axId val="939148560"/>
      </c:barChart>
      <c:catAx>
        <c:axId val="93914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148560"/>
        <c:crosses val="autoZero"/>
        <c:auto val="1"/>
        <c:lblAlgn val="ctr"/>
        <c:lblOffset val="100"/>
        <c:noMultiLvlLbl val="0"/>
      </c:catAx>
      <c:valAx>
        <c:axId val="93914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14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BASE!$BA$31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BASE!$AZ$32:$AZ$36</c:f>
              <c:strCache>
                <c:ptCount val="4"/>
                <c:pt idx="0">
                  <c:v>Others (NPS)</c:v>
                </c:pt>
                <c:pt idx="1">
                  <c:v>Placement (NPS)</c:v>
                </c:pt>
                <c:pt idx="2">
                  <c:v>Program &amp; Classroom (NPS)</c:v>
                </c:pt>
                <c:pt idx="3">
                  <c:v>Tech (NPS)</c:v>
                </c:pt>
              </c:strCache>
            </c:strRef>
          </c:cat>
          <c:val>
            <c:numRef>
              <c:f>BASE!$BA$32:$BA$36</c:f>
              <c:numCache>
                <c:formatCode>0.00</c:formatCode>
                <c:ptCount val="4"/>
                <c:pt idx="0">
                  <c:v>7.4930769230769236</c:v>
                </c:pt>
                <c:pt idx="1">
                  <c:v>6.8988679245283029</c:v>
                </c:pt>
                <c:pt idx="2">
                  <c:v>6.4669999999999996</c:v>
                </c:pt>
                <c:pt idx="3">
                  <c:v>6.1663157894736838</c:v>
                </c:pt>
              </c:numCache>
            </c:numRef>
          </c:val>
          <c:extLst>
            <c:ext xmlns:c16="http://schemas.microsoft.com/office/drawing/2014/chart" uri="{C3380CC4-5D6E-409C-BE32-E72D297353CC}">
              <c16:uniqueId val="{00000000-96B1-40C5-938F-D81F1F8E14E1}"/>
            </c:ext>
          </c:extLst>
        </c:ser>
        <c:dLbls>
          <c:dLblPos val="outEnd"/>
          <c:showLegendKey val="0"/>
          <c:showVal val="1"/>
          <c:showCatName val="0"/>
          <c:showSerName val="0"/>
          <c:showPercent val="0"/>
          <c:showBubbleSize val="0"/>
        </c:dLbls>
        <c:gapWidth val="219"/>
        <c:overlap val="-27"/>
        <c:axId val="933319904"/>
        <c:axId val="933322304"/>
      </c:barChart>
      <c:catAx>
        <c:axId val="93331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22304"/>
        <c:crosses val="autoZero"/>
        <c:auto val="1"/>
        <c:lblAlgn val="ctr"/>
        <c:lblOffset val="100"/>
        <c:noMultiLvlLbl val="0"/>
      </c:catAx>
      <c:valAx>
        <c:axId val="9333223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1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79070449269097"/>
          <c:y val="8.0195880015597146E-2"/>
          <c:w val="0.47831272708319306"/>
          <c:h val="0.82858998909146597"/>
        </c:manualLayout>
      </c:layout>
      <c:barChart>
        <c:barDir val="bar"/>
        <c:grouping val="clustered"/>
        <c:varyColors val="0"/>
        <c:ser>
          <c:idx val="0"/>
          <c:order val="0"/>
          <c:tx>
            <c:strRef>
              <c:f>BASE!$BA$22:$BA$23</c:f>
              <c:strCache>
                <c:ptCount val="1"/>
                <c:pt idx="0">
                  <c:v>&gt;20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BASE!$AZ$24:$AZ$28</c:f>
              <c:strCache>
                <c:ptCount val="4"/>
                <c:pt idx="0">
                  <c:v>Placement (NPS)</c:v>
                </c:pt>
                <c:pt idx="1">
                  <c:v>Program &amp; Classroom (NPS)</c:v>
                </c:pt>
                <c:pt idx="2">
                  <c:v>Tech (NPS)</c:v>
                </c:pt>
                <c:pt idx="3">
                  <c:v>Others (NPS)</c:v>
                </c:pt>
              </c:strCache>
            </c:strRef>
          </c:cat>
          <c:val>
            <c:numRef>
              <c:f>BASE!$BA$24:$BA$28</c:f>
              <c:numCache>
                <c:formatCode>General</c:formatCode>
                <c:ptCount val="4"/>
                <c:pt idx="0">
                  <c:v>15</c:v>
                </c:pt>
                <c:pt idx="1">
                  <c:v>14</c:v>
                </c:pt>
                <c:pt idx="2">
                  <c:v>4</c:v>
                </c:pt>
                <c:pt idx="3">
                  <c:v>7</c:v>
                </c:pt>
              </c:numCache>
            </c:numRef>
          </c:val>
          <c:extLst>
            <c:ext xmlns:c16="http://schemas.microsoft.com/office/drawing/2014/chart" uri="{C3380CC4-5D6E-409C-BE32-E72D297353CC}">
              <c16:uniqueId val="{00000000-3CBB-4F09-8922-26C4F3AC87D9}"/>
            </c:ext>
          </c:extLst>
        </c:ser>
        <c:ser>
          <c:idx val="1"/>
          <c:order val="1"/>
          <c:tx>
            <c:strRef>
              <c:f>BASE!$BB$22:$BB$23</c:f>
              <c:strCache>
                <c:ptCount val="1"/>
                <c:pt idx="0">
                  <c:v>8-20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BASE!$AZ$24:$AZ$28</c:f>
              <c:strCache>
                <c:ptCount val="4"/>
                <c:pt idx="0">
                  <c:v>Placement (NPS)</c:v>
                </c:pt>
                <c:pt idx="1">
                  <c:v>Program &amp; Classroom (NPS)</c:v>
                </c:pt>
                <c:pt idx="2">
                  <c:v>Tech (NPS)</c:v>
                </c:pt>
                <c:pt idx="3">
                  <c:v>Others (NPS)</c:v>
                </c:pt>
              </c:strCache>
            </c:strRef>
          </c:cat>
          <c:val>
            <c:numRef>
              <c:f>BASE!$BB$24:$BB$28</c:f>
              <c:numCache>
                <c:formatCode>General</c:formatCode>
                <c:ptCount val="4"/>
                <c:pt idx="0">
                  <c:v>6</c:v>
                </c:pt>
                <c:pt idx="1">
                  <c:v>4</c:v>
                </c:pt>
                <c:pt idx="2">
                  <c:v>6</c:v>
                </c:pt>
                <c:pt idx="3">
                  <c:v>3</c:v>
                </c:pt>
              </c:numCache>
            </c:numRef>
          </c:val>
          <c:extLst>
            <c:ext xmlns:c16="http://schemas.microsoft.com/office/drawing/2014/chart" uri="{C3380CC4-5D6E-409C-BE32-E72D297353CC}">
              <c16:uniqueId val="{0000000C-3CBB-4F09-8922-26C4F3AC87D9}"/>
            </c:ext>
          </c:extLst>
        </c:ser>
        <c:dLbls>
          <c:dLblPos val="outEnd"/>
          <c:showLegendKey val="0"/>
          <c:showVal val="1"/>
          <c:showCatName val="0"/>
          <c:showSerName val="0"/>
          <c:showPercent val="0"/>
          <c:showBubbleSize val="0"/>
        </c:dLbls>
        <c:gapWidth val="182"/>
        <c:axId val="716389072"/>
        <c:axId val="716388592"/>
      </c:barChart>
      <c:catAx>
        <c:axId val="71638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388592"/>
        <c:crosses val="autoZero"/>
        <c:auto val="1"/>
        <c:lblAlgn val="ctr"/>
        <c:lblOffset val="100"/>
        <c:noMultiLvlLbl val="0"/>
      </c:catAx>
      <c:valAx>
        <c:axId val="716388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38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[SCALER.xlsx]BASE!PivotTable12</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BASE!$BA$48:$BA$49</c:f>
              <c:strCache>
                <c:ptCount val="1"/>
                <c:pt idx="0">
                  <c:v>Complete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BASE!$AZ$50:$AZ$64</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BASE!$BA$50:$BA$64</c:f>
              <c:numCache>
                <c:formatCode>General</c:formatCode>
                <c:ptCount val="14"/>
                <c:pt idx="0">
                  <c:v>14</c:v>
                </c:pt>
                <c:pt idx="1">
                  <c:v>14</c:v>
                </c:pt>
                <c:pt idx="2">
                  <c:v>9</c:v>
                </c:pt>
                <c:pt idx="3">
                  <c:v>16</c:v>
                </c:pt>
                <c:pt idx="4">
                  <c:v>13</c:v>
                </c:pt>
                <c:pt idx="5">
                  <c:v>14</c:v>
                </c:pt>
                <c:pt idx="6">
                  <c:v>11</c:v>
                </c:pt>
                <c:pt idx="7">
                  <c:v>12</c:v>
                </c:pt>
                <c:pt idx="8">
                  <c:v>11</c:v>
                </c:pt>
                <c:pt idx="9">
                  <c:v>9</c:v>
                </c:pt>
                <c:pt idx="10">
                  <c:v>9</c:v>
                </c:pt>
                <c:pt idx="11">
                  <c:v>12</c:v>
                </c:pt>
                <c:pt idx="12">
                  <c:v>12</c:v>
                </c:pt>
                <c:pt idx="13">
                  <c:v>10</c:v>
                </c:pt>
              </c:numCache>
            </c:numRef>
          </c:val>
          <c:extLst>
            <c:ext xmlns:c16="http://schemas.microsoft.com/office/drawing/2014/chart" uri="{C3380CC4-5D6E-409C-BE32-E72D297353CC}">
              <c16:uniqueId val="{00000000-08AE-40C7-BDBB-1684B9614F22}"/>
            </c:ext>
          </c:extLst>
        </c:ser>
        <c:ser>
          <c:idx val="1"/>
          <c:order val="1"/>
          <c:tx>
            <c:strRef>
              <c:f>BASE!$BB$48:$BB$49</c:f>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BASE!$AZ$50:$AZ$64</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BASE!$BB$50:$BB$64</c:f>
              <c:numCache>
                <c:formatCode>General</c:formatCode>
                <c:ptCount val="14"/>
                <c:pt idx="0">
                  <c:v>7</c:v>
                </c:pt>
                <c:pt idx="1">
                  <c:v>5</c:v>
                </c:pt>
                <c:pt idx="2">
                  <c:v>9</c:v>
                </c:pt>
                <c:pt idx="3">
                  <c:v>2</c:v>
                </c:pt>
                <c:pt idx="4">
                  <c:v>5</c:v>
                </c:pt>
                <c:pt idx="5">
                  <c:v>3</c:v>
                </c:pt>
                <c:pt idx="6">
                  <c:v>5</c:v>
                </c:pt>
                <c:pt idx="7">
                  <c:v>4</c:v>
                </c:pt>
                <c:pt idx="8">
                  <c:v>5</c:v>
                </c:pt>
                <c:pt idx="9">
                  <c:v>5</c:v>
                </c:pt>
                <c:pt idx="10">
                  <c:v>5</c:v>
                </c:pt>
                <c:pt idx="11">
                  <c:v>2</c:v>
                </c:pt>
                <c:pt idx="12">
                  <c:v>2</c:v>
                </c:pt>
              </c:numCache>
            </c:numRef>
          </c:val>
          <c:extLst>
            <c:ext xmlns:c16="http://schemas.microsoft.com/office/drawing/2014/chart" uri="{C3380CC4-5D6E-409C-BE32-E72D297353CC}">
              <c16:uniqueId val="{00000005-08AE-40C7-BDBB-1684B9614F22}"/>
            </c:ext>
          </c:extLst>
        </c:ser>
        <c:dLbls>
          <c:dLblPos val="outEnd"/>
          <c:showLegendKey val="0"/>
          <c:showVal val="1"/>
          <c:showCatName val="0"/>
          <c:showSerName val="0"/>
          <c:showPercent val="0"/>
          <c:showBubbleSize val="0"/>
        </c:dLbls>
        <c:gapWidth val="219"/>
        <c:overlap val="-27"/>
        <c:axId val="722490400"/>
        <c:axId val="722506240"/>
      </c:barChart>
      <c:catAx>
        <c:axId val="72249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06240"/>
        <c:crosses val="autoZero"/>
        <c:auto val="1"/>
        <c:lblAlgn val="ctr"/>
        <c:lblOffset val="100"/>
        <c:noMultiLvlLbl val="0"/>
      </c:catAx>
      <c:valAx>
        <c:axId val="722506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9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BASE!$BA$67:$BA$68</c:f>
              <c:strCache>
                <c:ptCount val="1"/>
                <c:pt idx="0">
                  <c:v>1-4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BASE!$AZ$69:$AZ$83</c:f>
              <c:strCache>
                <c:ptCount val="14"/>
                <c:pt idx="0">
                  <c:v>False Promise By Sales Team (NPS)</c:v>
                </c:pt>
                <c:pt idx="1">
                  <c:v>Applied for jobs but no satisfactory outcome (NPS)</c:v>
                </c:pt>
                <c:pt idx="2">
                  <c:v>Time Management Related Concerns (NPS)</c:v>
                </c:pt>
                <c:pt idx="3">
                  <c:v>TA Support Related Concerns (NPS)</c:v>
                </c:pt>
                <c:pt idx="4">
                  <c:v>Poor Class video quality (NPS)</c:v>
                </c:pt>
                <c:pt idx="5">
                  <c:v>Looking For Career Guidance (NPS)</c:v>
                </c:pt>
                <c:pt idx="6">
                  <c:v>Unhappy With The Class Timings (NPS)</c:v>
                </c:pt>
                <c:pt idx="7">
                  <c:v>Lecture Notes Related (NPS)</c:v>
                </c:pt>
                <c:pt idx="8">
                  <c:v>Mentor Support Related Concerns (NPS)</c:v>
                </c:pt>
                <c:pt idx="9">
                  <c:v>Unhappy With Course Curriculum (NPS)</c:v>
                </c:pt>
                <c:pt idx="10">
                  <c:v>Frequent Resume Rejection (NPS)</c:v>
                </c:pt>
                <c:pt idx="11">
                  <c:v>Instructor Related Feedback (NPS)</c:v>
                </c:pt>
                <c:pt idx="12">
                  <c:v>Not eligible for placements (NPS)</c:v>
                </c:pt>
                <c:pt idx="13">
                  <c:v>Projects &amp; Assignment Related Concern (NPS)</c:v>
                </c:pt>
              </c:strCache>
            </c:strRef>
          </c:cat>
          <c:val>
            <c:numRef>
              <c:f>BASE!$BA$69:$BA$83</c:f>
              <c:numCache>
                <c:formatCode>General</c:formatCode>
                <c:ptCount val="14"/>
                <c:pt idx="0">
                  <c:v>4</c:v>
                </c:pt>
                <c:pt idx="1">
                  <c:v>5</c:v>
                </c:pt>
                <c:pt idx="2">
                  <c:v>1</c:v>
                </c:pt>
                <c:pt idx="3">
                  <c:v>3</c:v>
                </c:pt>
                <c:pt idx="4">
                  <c:v>3</c:v>
                </c:pt>
                <c:pt idx="5">
                  <c:v>2</c:v>
                </c:pt>
                <c:pt idx="6">
                  <c:v>4</c:v>
                </c:pt>
                <c:pt idx="7">
                  <c:v>6</c:v>
                </c:pt>
                <c:pt idx="8">
                  <c:v>1</c:v>
                </c:pt>
                <c:pt idx="9">
                  <c:v>4</c:v>
                </c:pt>
                <c:pt idx="10">
                  <c:v>1</c:v>
                </c:pt>
                <c:pt idx="11">
                  <c:v>1</c:v>
                </c:pt>
                <c:pt idx="12">
                  <c:v>1</c:v>
                </c:pt>
                <c:pt idx="13">
                  <c:v>3</c:v>
                </c:pt>
              </c:numCache>
            </c:numRef>
          </c:val>
          <c:extLst>
            <c:ext xmlns:c16="http://schemas.microsoft.com/office/drawing/2014/chart" uri="{C3380CC4-5D6E-409C-BE32-E72D297353CC}">
              <c16:uniqueId val="{00000000-8670-4EED-9C00-80C82CEC64F6}"/>
            </c:ext>
          </c:extLst>
        </c:ser>
        <c:ser>
          <c:idx val="1"/>
          <c:order val="1"/>
          <c:tx>
            <c:strRef>
              <c:f>BASE!$BB$67:$BB$68</c:f>
              <c:strCache>
                <c:ptCount val="1"/>
                <c:pt idx="0">
                  <c:v>5-8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BASE!$AZ$69:$AZ$83</c:f>
              <c:strCache>
                <c:ptCount val="14"/>
                <c:pt idx="0">
                  <c:v>False Promise By Sales Team (NPS)</c:v>
                </c:pt>
                <c:pt idx="1">
                  <c:v>Applied for jobs but no satisfactory outcome (NPS)</c:v>
                </c:pt>
                <c:pt idx="2">
                  <c:v>Time Management Related Concerns (NPS)</c:v>
                </c:pt>
                <c:pt idx="3">
                  <c:v>TA Support Related Concerns (NPS)</c:v>
                </c:pt>
                <c:pt idx="4">
                  <c:v>Poor Class video quality (NPS)</c:v>
                </c:pt>
                <c:pt idx="5">
                  <c:v>Looking For Career Guidance (NPS)</c:v>
                </c:pt>
                <c:pt idx="6">
                  <c:v>Unhappy With The Class Timings (NPS)</c:v>
                </c:pt>
                <c:pt idx="7">
                  <c:v>Lecture Notes Related (NPS)</c:v>
                </c:pt>
                <c:pt idx="8">
                  <c:v>Mentor Support Related Concerns (NPS)</c:v>
                </c:pt>
                <c:pt idx="9">
                  <c:v>Unhappy With Course Curriculum (NPS)</c:v>
                </c:pt>
                <c:pt idx="10">
                  <c:v>Frequent Resume Rejection (NPS)</c:v>
                </c:pt>
                <c:pt idx="11">
                  <c:v>Instructor Related Feedback (NPS)</c:v>
                </c:pt>
                <c:pt idx="12">
                  <c:v>Not eligible for placements (NPS)</c:v>
                </c:pt>
                <c:pt idx="13">
                  <c:v>Projects &amp; Assignment Related Concern (NPS)</c:v>
                </c:pt>
              </c:strCache>
            </c:strRef>
          </c:cat>
          <c:val>
            <c:numRef>
              <c:f>BASE!$BB$69:$BB$83</c:f>
              <c:numCache>
                <c:formatCode>General</c:formatCode>
                <c:ptCount val="14"/>
                <c:pt idx="0">
                  <c:v>4</c:v>
                </c:pt>
                <c:pt idx="1">
                  <c:v>5</c:v>
                </c:pt>
                <c:pt idx="2">
                  <c:v>8</c:v>
                </c:pt>
                <c:pt idx="3">
                  <c:v>4</c:v>
                </c:pt>
                <c:pt idx="4">
                  <c:v>6</c:v>
                </c:pt>
                <c:pt idx="5">
                  <c:v>4</c:v>
                </c:pt>
                <c:pt idx="6">
                  <c:v>4</c:v>
                </c:pt>
                <c:pt idx="7">
                  <c:v>2</c:v>
                </c:pt>
                <c:pt idx="8">
                  <c:v>5</c:v>
                </c:pt>
                <c:pt idx="9">
                  <c:v>3</c:v>
                </c:pt>
                <c:pt idx="10">
                  <c:v>5</c:v>
                </c:pt>
                <c:pt idx="11">
                  <c:v>3</c:v>
                </c:pt>
                <c:pt idx="12">
                  <c:v>4</c:v>
                </c:pt>
                <c:pt idx="13">
                  <c:v>1</c:v>
                </c:pt>
              </c:numCache>
            </c:numRef>
          </c:val>
          <c:extLst>
            <c:ext xmlns:c16="http://schemas.microsoft.com/office/drawing/2014/chart" uri="{C3380CC4-5D6E-409C-BE32-E72D297353CC}">
              <c16:uniqueId val="{00000006-8670-4EED-9C00-80C82CEC64F6}"/>
            </c:ext>
          </c:extLst>
        </c:ser>
        <c:ser>
          <c:idx val="2"/>
          <c:order val="2"/>
          <c:tx>
            <c:strRef>
              <c:f>BASE!$BC$67:$BC$68</c:f>
              <c:strCache>
                <c:ptCount val="1"/>
                <c:pt idx="0">
                  <c:v>9-12 days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BASE!$AZ$69:$AZ$83</c:f>
              <c:strCache>
                <c:ptCount val="14"/>
                <c:pt idx="0">
                  <c:v>False Promise By Sales Team (NPS)</c:v>
                </c:pt>
                <c:pt idx="1">
                  <c:v>Applied for jobs but no satisfactory outcome (NPS)</c:v>
                </c:pt>
                <c:pt idx="2">
                  <c:v>Time Management Related Concerns (NPS)</c:v>
                </c:pt>
                <c:pt idx="3">
                  <c:v>TA Support Related Concerns (NPS)</c:v>
                </c:pt>
                <c:pt idx="4">
                  <c:v>Poor Class video quality (NPS)</c:v>
                </c:pt>
                <c:pt idx="5">
                  <c:v>Looking For Career Guidance (NPS)</c:v>
                </c:pt>
                <c:pt idx="6">
                  <c:v>Unhappy With The Class Timings (NPS)</c:v>
                </c:pt>
                <c:pt idx="7">
                  <c:v>Lecture Notes Related (NPS)</c:v>
                </c:pt>
                <c:pt idx="8">
                  <c:v>Mentor Support Related Concerns (NPS)</c:v>
                </c:pt>
                <c:pt idx="9">
                  <c:v>Unhappy With Course Curriculum (NPS)</c:v>
                </c:pt>
                <c:pt idx="10">
                  <c:v>Frequent Resume Rejection (NPS)</c:v>
                </c:pt>
                <c:pt idx="11">
                  <c:v>Instructor Related Feedback (NPS)</c:v>
                </c:pt>
                <c:pt idx="12">
                  <c:v>Not eligible for placements (NPS)</c:v>
                </c:pt>
                <c:pt idx="13">
                  <c:v>Projects &amp; Assignment Related Concern (NPS)</c:v>
                </c:pt>
              </c:strCache>
            </c:strRef>
          </c:cat>
          <c:val>
            <c:numRef>
              <c:f>BASE!$BC$69:$BC$83</c:f>
              <c:numCache>
                <c:formatCode>General</c:formatCode>
                <c:ptCount val="14"/>
                <c:pt idx="0">
                  <c:v>8</c:v>
                </c:pt>
                <c:pt idx="1">
                  <c:v>4</c:v>
                </c:pt>
                <c:pt idx="2">
                  <c:v>4</c:v>
                </c:pt>
                <c:pt idx="3">
                  <c:v>5</c:v>
                </c:pt>
                <c:pt idx="4">
                  <c:v>3</c:v>
                </c:pt>
                <c:pt idx="5">
                  <c:v>6</c:v>
                </c:pt>
                <c:pt idx="6">
                  <c:v>3</c:v>
                </c:pt>
                <c:pt idx="7">
                  <c:v>3</c:v>
                </c:pt>
                <c:pt idx="8">
                  <c:v>5</c:v>
                </c:pt>
                <c:pt idx="9">
                  <c:v>3</c:v>
                </c:pt>
                <c:pt idx="10">
                  <c:v>4</c:v>
                </c:pt>
                <c:pt idx="11">
                  <c:v>5</c:v>
                </c:pt>
                <c:pt idx="12">
                  <c:v>4</c:v>
                </c:pt>
                <c:pt idx="13">
                  <c:v>4</c:v>
                </c:pt>
              </c:numCache>
            </c:numRef>
          </c:val>
          <c:extLst>
            <c:ext xmlns:c16="http://schemas.microsoft.com/office/drawing/2014/chart" uri="{C3380CC4-5D6E-409C-BE32-E72D297353CC}">
              <c16:uniqueId val="{00000007-8670-4EED-9C00-80C82CEC64F6}"/>
            </c:ext>
          </c:extLst>
        </c:ser>
        <c:dLbls>
          <c:dLblPos val="outEnd"/>
          <c:showLegendKey val="0"/>
          <c:showVal val="1"/>
          <c:showCatName val="0"/>
          <c:showSerName val="0"/>
          <c:showPercent val="0"/>
          <c:showBubbleSize val="0"/>
        </c:dLbls>
        <c:gapWidth val="182"/>
        <c:axId val="750809264"/>
        <c:axId val="750820304"/>
      </c:barChart>
      <c:catAx>
        <c:axId val="75080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820304"/>
        <c:crosses val="autoZero"/>
        <c:auto val="1"/>
        <c:lblAlgn val="ctr"/>
        <c:lblOffset val="100"/>
        <c:noMultiLvlLbl val="0"/>
      </c:catAx>
      <c:valAx>
        <c:axId val="750820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80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[SCALER.xlsx]BASE!PivotTable10</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BASE!$BA$86:$BA$87</c:f>
              <c:strCache>
                <c:ptCount val="1"/>
                <c:pt idx="0">
                  <c:v>&gt;20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BASE!$AZ$88:$AZ$101</c:f>
              <c:strCache>
                <c:ptCount val="13"/>
                <c:pt idx="0">
                  <c:v>Projects &amp; Assignment Related Concern (NPS)</c:v>
                </c:pt>
                <c:pt idx="1">
                  <c:v>Looking For Career Guidance (NPS)</c:v>
                </c:pt>
                <c:pt idx="2">
                  <c:v>Not eligible for placements (NPS)</c:v>
                </c:pt>
                <c:pt idx="3">
                  <c:v>Instructor Related Feedback (NPS)</c:v>
                </c:pt>
                <c:pt idx="4">
                  <c:v>Frequent Resume Rejection (NPS)</c:v>
                </c:pt>
                <c:pt idx="5">
                  <c:v>Time Management Related Concerns (NPS)</c:v>
                </c:pt>
                <c:pt idx="6">
                  <c:v>Unhappy With The Class Timings (NPS)</c:v>
                </c:pt>
                <c:pt idx="7">
                  <c:v>Applied for jobs but no satisfactory outcome (NPS)</c:v>
                </c:pt>
                <c:pt idx="8">
                  <c:v>TA Support Related Concerns (NPS)</c:v>
                </c:pt>
                <c:pt idx="9">
                  <c:v>Mentor Support Related Concerns (NPS)</c:v>
                </c:pt>
                <c:pt idx="10">
                  <c:v>False Promise By Sales Team (NPS)</c:v>
                </c:pt>
                <c:pt idx="11">
                  <c:v>Lecture Notes Related (NPS)</c:v>
                </c:pt>
                <c:pt idx="12">
                  <c:v>Poor Class video quality (NPS)</c:v>
                </c:pt>
              </c:strCache>
            </c:strRef>
          </c:cat>
          <c:val>
            <c:numRef>
              <c:f>BASE!$BA$88:$BA$101</c:f>
              <c:numCache>
                <c:formatCode>General</c:formatCode>
                <c:ptCount val="13"/>
                <c:pt idx="0">
                  <c:v>6</c:v>
                </c:pt>
                <c:pt idx="1">
                  <c:v>5</c:v>
                </c:pt>
                <c:pt idx="2">
                  <c:v>5</c:v>
                </c:pt>
                <c:pt idx="3">
                  <c:v>3</c:v>
                </c:pt>
                <c:pt idx="4">
                  <c:v>3</c:v>
                </c:pt>
                <c:pt idx="5">
                  <c:v>3</c:v>
                </c:pt>
                <c:pt idx="6">
                  <c:v>3</c:v>
                </c:pt>
                <c:pt idx="7">
                  <c:v>2</c:v>
                </c:pt>
                <c:pt idx="8">
                  <c:v>2</c:v>
                </c:pt>
                <c:pt idx="9">
                  <c:v>2</c:v>
                </c:pt>
                <c:pt idx="10">
                  <c:v>2</c:v>
                </c:pt>
                <c:pt idx="11">
                  <c:v>2</c:v>
                </c:pt>
                <c:pt idx="12">
                  <c:v>2</c:v>
                </c:pt>
              </c:numCache>
            </c:numRef>
          </c:val>
          <c:extLst>
            <c:ext xmlns:c16="http://schemas.microsoft.com/office/drawing/2014/chart" uri="{C3380CC4-5D6E-409C-BE32-E72D297353CC}">
              <c16:uniqueId val="{00000000-9934-4542-8E3C-7BD1929F7051}"/>
            </c:ext>
          </c:extLst>
        </c:ser>
        <c:ser>
          <c:idx val="1"/>
          <c:order val="1"/>
          <c:tx>
            <c:strRef>
              <c:f>BASE!$BB$86:$BB$87</c:f>
              <c:strCache>
                <c:ptCount val="1"/>
                <c:pt idx="0">
                  <c:v>8-20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BASE!$AZ$88:$AZ$101</c:f>
              <c:strCache>
                <c:ptCount val="13"/>
                <c:pt idx="0">
                  <c:v>Projects &amp; Assignment Related Concern (NPS)</c:v>
                </c:pt>
                <c:pt idx="1">
                  <c:v>Looking For Career Guidance (NPS)</c:v>
                </c:pt>
                <c:pt idx="2">
                  <c:v>Not eligible for placements (NPS)</c:v>
                </c:pt>
                <c:pt idx="3">
                  <c:v>Instructor Related Feedback (NPS)</c:v>
                </c:pt>
                <c:pt idx="4">
                  <c:v>Frequent Resume Rejection (NPS)</c:v>
                </c:pt>
                <c:pt idx="5">
                  <c:v>Time Management Related Concerns (NPS)</c:v>
                </c:pt>
                <c:pt idx="6">
                  <c:v>Unhappy With The Class Timings (NPS)</c:v>
                </c:pt>
                <c:pt idx="7">
                  <c:v>Applied for jobs but no satisfactory outcome (NPS)</c:v>
                </c:pt>
                <c:pt idx="8">
                  <c:v>TA Support Related Concerns (NPS)</c:v>
                </c:pt>
                <c:pt idx="9">
                  <c:v>Mentor Support Related Concerns (NPS)</c:v>
                </c:pt>
                <c:pt idx="10">
                  <c:v>False Promise By Sales Team (NPS)</c:v>
                </c:pt>
                <c:pt idx="11">
                  <c:v>Lecture Notes Related (NPS)</c:v>
                </c:pt>
                <c:pt idx="12">
                  <c:v>Poor Class video quality (NPS)</c:v>
                </c:pt>
              </c:strCache>
            </c:strRef>
          </c:cat>
          <c:val>
            <c:numRef>
              <c:f>BASE!$BB$88:$BB$101</c:f>
              <c:numCache>
                <c:formatCode>General</c:formatCode>
                <c:ptCount val="13"/>
                <c:pt idx="0">
                  <c:v>3</c:v>
                </c:pt>
                <c:pt idx="1">
                  <c:v>2</c:v>
                </c:pt>
                <c:pt idx="3">
                  <c:v>2</c:v>
                </c:pt>
                <c:pt idx="4">
                  <c:v>2</c:v>
                </c:pt>
                <c:pt idx="5">
                  <c:v>2</c:v>
                </c:pt>
                <c:pt idx="6">
                  <c:v>2</c:v>
                </c:pt>
                <c:pt idx="7">
                  <c:v>3</c:v>
                </c:pt>
                <c:pt idx="8">
                  <c:v>2</c:v>
                </c:pt>
                <c:pt idx="9">
                  <c:v>1</c:v>
                </c:pt>
              </c:numCache>
            </c:numRef>
          </c:val>
          <c:extLst>
            <c:ext xmlns:c16="http://schemas.microsoft.com/office/drawing/2014/chart" uri="{C3380CC4-5D6E-409C-BE32-E72D297353CC}">
              <c16:uniqueId val="{00000006-9934-4542-8E3C-7BD1929F7051}"/>
            </c:ext>
          </c:extLst>
        </c:ser>
        <c:dLbls>
          <c:dLblPos val="outEnd"/>
          <c:showLegendKey val="0"/>
          <c:showVal val="1"/>
          <c:showCatName val="0"/>
          <c:showSerName val="0"/>
          <c:showPercent val="0"/>
          <c:showBubbleSize val="0"/>
        </c:dLbls>
        <c:gapWidth val="182"/>
        <c:axId val="722500960"/>
        <c:axId val="722497120"/>
      </c:barChart>
      <c:catAx>
        <c:axId val="722500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97120"/>
        <c:crosses val="autoZero"/>
        <c:auto val="1"/>
        <c:lblAlgn val="ctr"/>
        <c:lblOffset val="100"/>
        <c:noMultiLvlLbl val="0"/>
      </c:catAx>
      <c:valAx>
        <c:axId val="722497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0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[SCALER.xlsx]BASE!PivotTable9</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BASE!$BA$106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BASE!$AZ$107:$AZ$121</c:f>
              <c:strCache>
                <c:ptCount val="14"/>
                <c:pt idx="0">
                  <c:v>Instructor Related Feedback (NPS)</c:v>
                </c:pt>
                <c:pt idx="1">
                  <c:v>Mentor Support Related Concerns (NPS)</c:v>
                </c:pt>
                <c:pt idx="2">
                  <c:v>Time Management Related Concerns (NPS)</c:v>
                </c:pt>
                <c:pt idx="3">
                  <c:v>Looking For Career Guidance (NPS)</c:v>
                </c:pt>
                <c:pt idx="4">
                  <c:v>Frequent Resume Rejection (NPS)</c:v>
                </c:pt>
                <c:pt idx="5">
                  <c:v>False Promise By Sales Team (NPS)</c:v>
                </c:pt>
                <c:pt idx="6">
                  <c:v>Projects &amp; Assignment Related Concern (NPS)</c:v>
                </c:pt>
                <c:pt idx="7">
                  <c:v>Not eligible for placements (NPS)</c:v>
                </c:pt>
                <c:pt idx="8">
                  <c:v>TA Support Related Concerns (NPS)</c:v>
                </c:pt>
                <c:pt idx="9">
                  <c:v>Applied for jobs but no satisfactory outcome (NPS)</c:v>
                </c:pt>
                <c:pt idx="10">
                  <c:v>Poor Class video quality (NPS)</c:v>
                </c:pt>
                <c:pt idx="11">
                  <c:v>Unhappy With The Class Timings (NPS)</c:v>
                </c:pt>
                <c:pt idx="12">
                  <c:v>Unhappy With Course Curriculum (NPS)</c:v>
                </c:pt>
                <c:pt idx="13">
                  <c:v>Lecture Notes Related (NPS)</c:v>
                </c:pt>
              </c:strCache>
            </c:strRef>
          </c:cat>
          <c:val>
            <c:numRef>
              <c:f>BASE!$BA$107:$BA$121</c:f>
              <c:numCache>
                <c:formatCode>0.00</c:formatCode>
                <c:ptCount val="14"/>
                <c:pt idx="0">
                  <c:v>7.8988888888888873</c:v>
                </c:pt>
                <c:pt idx="1">
                  <c:v>7.6618181818181821</c:v>
                </c:pt>
                <c:pt idx="2">
                  <c:v>7.4507692307692306</c:v>
                </c:pt>
                <c:pt idx="3">
                  <c:v>7.4224999999999994</c:v>
                </c:pt>
                <c:pt idx="4">
                  <c:v>7.330000000000001</c:v>
                </c:pt>
                <c:pt idx="5">
                  <c:v>7.0956250000000001</c:v>
                </c:pt>
                <c:pt idx="6">
                  <c:v>6.9649999999999999</c:v>
                </c:pt>
                <c:pt idx="7">
                  <c:v>6.8533333333333335</c:v>
                </c:pt>
                <c:pt idx="8">
                  <c:v>6.6408333333333331</c:v>
                </c:pt>
                <c:pt idx="9">
                  <c:v>6.1714285714285708</c:v>
                </c:pt>
                <c:pt idx="10">
                  <c:v>6.1458333333333348</c:v>
                </c:pt>
                <c:pt idx="11">
                  <c:v>6.1290909090909089</c:v>
                </c:pt>
                <c:pt idx="12">
                  <c:v>5.4569999999999999</c:v>
                </c:pt>
                <c:pt idx="13">
                  <c:v>5.2981818181818179</c:v>
                </c:pt>
              </c:numCache>
            </c:numRef>
          </c:val>
          <c:extLst>
            <c:ext xmlns:c16="http://schemas.microsoft.com/office/drawing/2014/chart" uri="{C3380CC4-5D6E-409C-BE32-E72D297353CC}">
              <c16:uniqueId val="{00000000-C528-4F21-9B61-72BEE0A4D976}"/>
            </c:ext>
          </c:extLst>
        </c:ser>
        <c:dLbls>
          <c:dLblPos val="outEnd"/>
          <c:showLegendKey val="0"/>
          <c:showVal val="1"/>
          <c:showCatName val="0"/>
          <c:showSerName val="0"/>
          <c:showPercent val="0"/>
          <c:showBubbleSize val="0"/>
        </c:dLbls>
        <c:gapWidth val="219"/>
        <c:overlap val="-27"/>
        <c:axId val="994106768"/>
        <c:axId val="994119728"/>
      </c:barChart>
      <c:catAx>
        <c:axId val="99410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19728"/>
        <c:crosses val="autoZero"/>
        <c:auto val="1"/>
        <c:lblAlgn val="ctr"/>
        <c:lblOffset val="100"/>
        <c:noMultiLvlLbl val="0"/>
      </c:catAx>
      <c:valAx>
        <c:axId val="9941197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0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[SCALER.xlsx]BASE!PivotTable17</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BASE!$BA$137:$BA$138</c:f>
              <c:strCache>
                <c:ptCount val="1"/>
                <c:pt idx="0">
                  <c:v>Complete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BASE!$AZ$139:$AZ$150</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BASE!$BA$139:$BA$150</c:f>
              <c:numCache>
                <c:formatCode>General</c:formatCode>
                <c:ptCount val="11"/>
                <c:pt idx="0">
                  <c:v>32</c:v>
                </c:pt>
                <c:pt idx="1">
                  <c:v>17</c:v>
                </c:pt>
                <c:pt idx="2">
                  <c:v>18</c:v>
                </c:pt>
                <c:pt idx="3">
                  <c:v>14</c:v>
                </c:pt>
                <c:pt idx="4">
                  <c:v>18</c:v>
                </c:pt>
                <c:pt idx="5">
                  <c:v>16</c:v>
                </c:pt>
                <c:pt idx="6">
                  <c:v>12</c:v>
                </c:pt>
                <c:pt idx="7">
                  <c:v>13</c:v>
                </c:pt>
                <c:pt idx="8">
                  <c:v>15</c:v>
                </c:pt>
                <c:pt idx="9">
                  <c:v>11</c:v>
                </c:pt>
              </c:numCache>
            </c:numRef>
          </c:val>
          <c:extLst>
            <c:ext xmlns:c16="http://schemas.microsoft.com/office/drawing/2014/chart" uri="{C3380CC4-5D6E-409C-BE32-E72D297353CC}">
              <c16:uniqueId val="{00000000-F547-4142-996F-598D7E958F22}"/>
            </c:ext>
          </c:extLst>
        </c:ser>
        <c:ser>
          <c:idx val="1"/>
          <c:order val="1"/>
          <c:tx>
            <c:strRef>
              <c:f>BASE!$BB$137:$BB$138</c:f>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BASE!$AZ$139:$AZ$150</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BASE!$BB$139:$BB$150</c:f>
              <c:numCache>
                <c:formatCode>General</c:formatCode>
                <c:ptCount val="11"/>
                <c:pt idx="0">
                  <c:v>6</c:v>
                </c:pt>
                <c:pt idx="1">
                  <c:v>8</c:v>
                </c:pt>
                <c:pt idx="2">
                  <c:v>5</c:v>
                </c:pt>
                <c:pt idx="3">
                  <c:v>8</c:v>
                </c:pt>
                <c:pt idx="4">
                  <c:v>4</c:v>
                </c:pt>
                <c:pt idx="5">
                  <c:v>5</c:v>
                </c:pt>
                <c:pt idx="6">
                  <c:v>7</c:v>
                </c:pt>
                <c:pt idx="7">
                  <c:v>5</c:v>
                </c:pt>
                <c:pt idx="8">
                  <c:v>2</c:v>
                </c:pt>
                <c:pt idx="9">
                  <c:v>4</c:v>
                </c:pt>
                <c:pt idx="10">
                  <c:v>5</c:v>
                </c:pt>
              </c:numCache>
            </c:numRef>
          </c:val>
          <c:extLst>
            <c:ext xmlns:c16="http://schemas.microsoft.com/office/drawing/2014/chart" uri="{C3380CC4-5D6E-409C-BE32-E72D297353CC}">
              <c16:uniqueId val="{00000007-F547-4142-996F-598D7E958F22}"/>
            </c:ext>
          </c:extLst>
        </c:ser>
        <c:dLbls>
          <c:dLblPos val="outEnd"/>
          <c:showLegendKey val="0"/>
          <c:showVal val="1"/>
          <c:showCatName val="0"/>
          <c:showSerName val="0"/>
          <c:showPercent val="0"/>
          <c:showBubbleSize val="0"/>
        </c:dLbls>
        <c:gapWidth val="219"/>
        <c:overlap val="-27"/>
        <c:axId val="898314704"/>
        <c:axId val="898328144"/>
      </c:barChart>
      <c:catAx>
        <c:axId val="89831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28144"/>
        <c:crosses val="autoZero"/>
        <c:auto val="1"/>
        <c:lblAlgn val="ctr"/>
        <c:lblOffset val="100"/>
        <c:noMultiLvlLbl val="0"/>
      </c:catAx>
      <c:valAx>
        <c:axId val="898328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1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[SCALER.xlsx]BASE!PivotTable18</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BASE!$BA$156:$BA$157</c:f>
              <c:strCache>
                <c:ptCount val="1"/>
                <c:pt idx="0">
                  <c:v>1-4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BASE!$AZ$158:$AZ$168</c:f>
              <c:strCache>
                <c:ptCount val="10"/>
                <c:pt idx="0">
                  <c:v>Jessica Kim</c:v>
                </c:pt>
                <c:pt idx="1">
                  <c:v>Mike Chen</c:v>
                </c:pt>
                <c:pt idx="2">
                  <c:v>Lisa Rodriguez</c:v>
                </c:pt>
                <c:pt idx="3">
                  <c:v>Amit Patel</c:v>
                </c:pt>
                <c:pt idx="4">
                  <c:v>Priya Sharma</c:v>
                </c:pt>
                <c:pt idx="5">
                  <c:v>Rohit Gupta</c:v>
                </c:pt>
                <c:pt idx="6">
                  <c:v>Carlos Martinez</c:v>
                </c:pt>
                <c:pt idx="7">
                  <c:v>David Wilson</c:v>
                </c:pt>
                <c:pt idx="8">
                  <c:v>Sneha Reddy</c:v>
                </c:pt>
                <c:pt idx="9">
                  <c:v>Sarah Johnson</c:v>
                </c:pt>
              </c:strCache>
            </c:strRef>
          </c:cat>
          <c:val>
            <c:numRef>
              <c:f>BASE!$BA$158:$BA$168</c:f>
              <c:numCache>
                <c:formatCode>General</c:formatCode>
                <c:ptCount val="10"/>
                <c:pt idx="0">
                  <c:v>8</c:v>
                </c:pt>
                <c:pt idx="1">
                  <c:v>2</c:v>
                </c:pt>
                <c:pt idx="2">
                  <c:v>4</c:v>
                </c:pt>
                <c:pt idx="3">
                  <c:v>5</c:v>
                </c:pt>
                <c:pt idx="4">
                  <c:v>6</c:v>
                </c:pt>
                <c:pt idx="5">
                  <c:v>4</c:v>
                </c:pt>
                <c:pt idx="6">
                  <c:v>3</c:v>
                </c:pt>
                <c:pt idx="7">
                  <c:v>4</c:v>
                </c:pt>
                <c:pt idx="8">
                  <c:v>2</c:v>
                </c:pt>
                <c:pt idx="9">
                  <c:v>1</c:v>
                </c:pt>
              </c:numCache>
            </c:numRef>
          </c:val>
          <c:extLst>
            <c:ext xmlns:c16="http://schemas.microsoft.com/office/drawing/2014/chart" uri="{C3380CC4-5D6E-409C-BE32-E72D297353CC}">
              <c16:uniqueId val="{00000000-9E84-4853-8656-7225B3AEC8FC}"/>
            </c:ext>
          </c:extLst>
        </c:ser>
        <c:ser>
          <c:idx val="1"/>
          <c:order val="1"/>
          <c:tx>
            <c:strRef>
              <c:f>BASE!$BB$156:$BB$157</c:f>
              <c:strCache>
                <c:ptCount val="1"/>
                <c:pt idx="0">
                  <c:v>5-8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BASE!$AZ$158:$AZ$168</c:f>
              <c:strCache>
                <c:ptCount val="10"/>
                <c:pt idx="0">
                  <c:v>Jessica Kim</c:v>
                </c:pt>
                <c:pt idx="1">
                  <c:v>Mike Chen</c:v>
                </c:pt>
                <c:pt idx="2">
                  <c:v>Lisa Rodriguez</c:v>
                </c:pt>
                <c:pt idx="3">
                  <c:v>Amit Patel</c:v>
                </c:pt>
                <c:pt idx="4">
                  <c:v>Priya Sharma</c:v>
                </c:pt>
                <c:pt idx="5">
                  <c:v>Rohit Gupta</c:v>
                </c:pt>
                <c:pt idx="6">
                  <c:v>Carlos Martinez</c:v>
                </c:pt>
                <c:pt idx="7">
                  <c:v>David Wilson</c:v>
                </c:pt>
                <c:pt idx="8">
                  <c:v>Sneha Reddy</c:v>
                </c:pt>
                <c:pt idx="9">
                  <c:v>Sarah Johnson</c:v>
                </c:pt>
              </c:strCache>
            </c:strRef>
          </c:cat>
          <c:val>
            <c:numRef>
              <c:f>BASE!$BB$158:$BB$168</c:f>
              <c:numCache>
                <c:formatCode>General</c:formatCode>
                <c:ptCount val="10"/>
                <c:pt idx="0">
                  <c:v>13</c:v>
                </c:pt>
                <c:pt idx="1">
                  <c:v>9</c:v>
                </c:pt>
                <c:pt idx="2">
                  <c:v>7</c:v>
                </c:pt>
                <c:pt idx="3">
                  <c:v>6</c:v>
                </c:pt>
                <c:pt idx="4">
                  <c:v>7</c:v>
                </c:pt>
                <c:pt idx="5">
                  <c:v>5</c:v>
                </c:pt>
                <c:pt idx="6">
                  <c:v>4</c:v>
                </c:pt>
                <c:pt idx="7">
                  <c:v>5</c:v>
                </c:pt>
                <c:pt idx="8">
                  <c:v>1</c:v>
                </c:pt>
                <c:pt idx="9">
                  <c:v>1</c:v>
                </c:pt>
              </c:numCache>
            </c:numRef>
          </c:val>
          <c:extLst>
            <c:ext xmlns:c16="http://schemas.microsoft.com/office/drawing/2014/chart" uri="{C3380CC4-5D6E-409C-BE32-E72D297353CC}">
              <c16:uniqueId val="{0000000C-9E84-4853-8656-7225B3AEC8FC}"/>
            </c:ext>
          </c:extLst>
        </c:ser>
        <c:ser>
          <c:idx val="2"/>
          <c:order val="2"/>
          <c:tx>
            <c:strRef>
              <c:f>BASE!$BC$156:$BC$157</c:f>
              <c:strCache>
                <c:ptCount val="1"/>
                <c:pt idx="0">
                  <c:v>9-12 days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BASE!$AZ$158:$AZ$168</c:f>
              <c:strCache>
                <c:ptCount val="10"/>
                <c:pt idx="0">
                  <c:v>Jessica Kim</c:v>
                </c:pt>
                <c:pt idx="1">
                  <c:v>Mike Chen</c:v>
                </c:pt>
                <c:pt idx="2">
                  <c:v>Lisa Rodriguez</c:v>
                </c:pt>
                <c:pt idx="3">
                  <c:v>Amit Patel</c:v>
                </c:pt>
                <c:pt idx="4">
                  <c:v>Priya Sharma</c:v>
                </c:pt>
                <c:pt idx="5">
                  <c:v>Rohit Gupta</c:v>
                </c:pt>
                <c:pt idx="6">
                  <c:v>Carlos Martinez</c:v>
                </c:pt>
                <c:pt idx="7">
                  <c:v>David Wilson</c:v>
                </c:pt>
                <c:pt idx="8">
                  <c:v>Sneha Reddy</c:v>
                </c:pt>
                <c:pt idx="9">
                  <c:v>Sarah Johnson</c:v>
                </c:pt>
              </c:strCache>
            </c:strRef>
          </c:cat>
          <c:val>
            <c:numRef>
              <c:f>BASE!$BC$158:$BC$168</c:f>
              <c:numCache>
                <c:formatCode>General</c:formatCode>
                <c:ptCount val="10"/>
                <c:pt idx="0">
                  <c:v>10</c:v>
                </c:pt>
                <c:pt idx="1">
                  <c:v>7</c:v>
                </c:pt>
                <c:pt idx="2">
                  <c:v>6</c:v>
                </c:pt>
                <c:pt idx="3">
                  <c:v>4</c:v>
                </c:pt>
                <c:pt idx="4">
                  <c:v>2</c:v>
                </c:pt>
                <c:pt idx="5">
                  <c:v>5</c:v>
                </c:pt>
                <c:pt idx="6">
                  <c:v>6</c:v>
                </c:pt>
                <c:pt idx="7">
                  <c:v>4</c:v>
                </c:pt>
                <c:pt idx="8">
                  <c:v>8</c:v>
                </c:pt>
                <c:pt idx="9">
                  <c:v>9</c:v>
                </c:pt>
              </c:numCache>
            </c:numRef>
          </c:val>
          <c:extLst>
            <c:ext xmlns:c16="http://schemas.microsoft.com/office/drawing/2014/chart" uri="{C3380CC4-5D6E-409C-BE32-E72D297353CC}">
              <c16:uniqueId val="{0000000D-9E84-4853-8656-7225B3AEC8FC}"/>
            </c:ext>
          </c:extLst>
        </c:ser>
        <c:dLbls>
          <c:dLblPos val="outEnd"/>
          <c:showLegendKey val="0"/>
          <c:showVal val="1"/>
          <c:showCatName val="0"/>
          <c:showSerName val="0"/>
          <c:showPercent val="0"/>
          <c:showBubbleSize val="0"/>
        </c:dLbls>
        <c:gapWidth val="182"/>
        <c:axId val="991863360"/>
        <c:axId val="991874880"/>
      </c:barChart>
      <c:catAx>
        <c:axId val="99186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874880"/>
        <c:crosses val="autoZero"/>
        <c:auto val="1"/>
        <c:lblAlgn val="ctr"/>
        <c:lblOffset val="100"/>
        <c:noMultiLvlLbl val="0"/>
      </c:catAx>
      <c:valAx>
        <c:axId val="991874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86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[SCALER.xlsx]BASE!PivotTable19</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BASE!$BA$175:$BA$176</c:f>
              <c:strCache>
                <c:ptCount val="1"/>
                <c:pt idx="0">
                  <c:v>&gt;20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BASE!$AZ$177:$AZ$188</c:f>
              <c:strCache>
                <c:ptCount val="11"/>
                <c:pt idx="0">
                  <c:v>Carlos Martinez</c:v>
                </c:pt>
                <c:pt idx="1">
                  <c:v>Lisa Rodriguez</c:v>
                </c:pt>
                <c:pt idx="2">
                  <c:v>Sneha Reddy</c:v>
                </c:pt>
                <c:pt idx="3">
                  <c:v>Jessica Kim</c:v>
                </c:pt>
                <c:pt idx="4">
                  <c:v>David Wilson</c:v>
                </c:pt>
                <c:pt idx="5">
                  <c:v>Priya Sharma</c:v>
                </c:pt>
                <c:pt idx="6">
                  <c:v>Unknown_Handler</c:v>
                </c:pt>
                <c:pt idx="7">
                  <c:v>Amit Patel</c:v>
                </c:pt>
                <c:pt idx="8">
                  <c:v>Sarah Johnson</c:v>
                </c:pt>
                <c:pt idx="9">
                  <c:v>Mike Chen</c:v>
                </c:pt>
                <c:pt idx="10">
                  <c:v>Rohit Gupta</c:v>
                </c:pt>
              </c:strCache>
            </c:strRef>
          </c:cat>
          <c:val>
            <c:numRef>
              <c:f>BASE!$BA$177:$BA$188</c:f>
              <c:numCache>
                <c:formatCode>General</c:formatCode>
                <c:ptCount val="11"/>
                <c:pt idx="0">
                  <c:v>5</c:v>
                </c:pt>
                <c:pt idx="1">
                  <c:v>4</c:v>
                </c:pt>
                <c:pt idx="2">
                  <c:v>4</c:v>
                </c:pt>
                <c:pt idx="3">
                  <c:v>4</c:v>
                </c:pt>
                <c:pt idx="4">
                  <c:v>4</c:v>
                </c:pt>
                <c:pt idx="5">
                  <c:v>3</c:v>
                </c:pt>
                <c:pt idx="6">
                  <c:v>4</c:v>
                </c:pt>
                <c:pt idx="7">
                  <c:v>4</c:v>
                </c:pt>
                <c:pt idx="8">
                  <c:v>3</c:v>
                </c:pt>
                <c:pt idx="9">
                  <c:v>4</c:v>
                </c:pt>
                <c:pt idx="10">
                  <c:v>1</c:v>
                </c:pt>
              </c:numCache>
            </c:numRef>
          </c:val>
          <c:extLst>
            <c:ext xmlns:c16="http://schemas.microsoft.com/office/drawing/2014/chart" uri="{C3380CC4-5D6E-409C-BE32-E72D297353CC}">
              <c16:uniqueId val="{00000000-95FD-4CFD-9DE1-FB396A575E66}"/>
            </c:ext>
          </c:extLst>
        </c:ser>
        <c:ser>
          <c:idx val="1"/>
          <c:order val="1"/>
          <c:tx>
            <c:strRef>
              <c:f>BASE!$BB$175:$BB$176</c:f>
              <c:strCache>
                <c:ptCount val="1"/>
                <c:pt idx="0">
                  <c:v>8-20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BASE!$AZ$177:$AZ$188</c:f>
              <c:strCache>
                <c:ptCount val="11"/>
                <c:pt idx="0">
                  <c:v>Carlos Martinez</c:v>
                </c:pt>
                <c:pt idx="1">
                  <c:v>Lisa Rodriguez</c:v>
                </c:pt>
                <c:pt idx="2">
                  <c:v>Sneha Reddy</c:v>
                </c:pt>
                <c:pt idx="3">
                  <c:v>Jessica Kim</c:v>
                </c:pt>
                <c:pt idx="4">
                  <c:v>David Wilson</c:v>
                </c:pt>
                <c:pt idx="5">
                  <c:v>Priya Sharma</c:v>
                </c:pt>
                <c:pt idx="6">
                  <c:v>Unknown_Handler</c:v>
                </c:pt>
                <c:pt idx="7">
                  <c:v>Amit Patel</c:v>
                </c:pt>
                <c:pt idx="8">
                  <c:v>Sarah Johnson</c:v>
                </c:pt>
                <c:pt idx="9">
                  <c:v>Mike Chen</c:v>
                </c:pt>
                <c:pt idx="10">
                  <c:v>Rohit Gupta</c:v>
                </c:pt>
              </c:strCache>
            </c:strRef>
          </c:cat>
          <c:val>
            <c:numRef>
              <c:f>BASE!$BB$177:$BB$188</c:f>
              <c:numCache>
                <c:formatCode>General</c:formatCode>
                <c:ptCount val="11"/>
                <c:pt idx="0">
                  <c:v>3</c:v>
                </c:pt>
                <c:pt idx="1">
                  <c:v>4</c:v>
                </c:pt>
                <c:pt idx="2">
                  <c:v>3</c:v>
                </c:pt>
                <c:pt idx="3">
                  <c:v>2</c:v>
                </c:pt>
                <c:pt idx="4">
                  <c:v>1</c:v>
                </c:pt>
                <c:pt idx="5">
                  <c:v>2</c:v>
                </c:pt>
                <c:pt idx="6">
                  <c:v>1</c:v>
                </c:pt>
                <c:pt idx="7">
                  <c:v>1</c:v>
                </c:pt>
                <c:pt idx="8">
                  <c:v>1</c:v>
                </c:pt>
                <c:pt idx="10">
                  <c:v>1</c:v>
                </c:pt>
              </c:numCache>
            </c:numRef>
          </c:val>
          <c:extLst>
            <c:ext xmlns:c16="http://schemas.microsoft.com/office/drawing/2014/chart" uri="{C3380CC4-5D6E-409C-BE32-E72D297353CC}">
              <c16:uniqueId val="{0000000C-95FD-4CFD-9DE1-FB396A575E66}"/>
            </c:ext>
          </c:extLst>
        </c:ser>
        <c:dLbls>
          <c:dLblPos val="outEnd"/>
          <c:showLegendKey val="0"/>
          <c:showVal val="1"/>
          <c:showCatName val="0"/>
          <c:showSerName val="0"/>
          <c:showPercent val="0"/>
          <c:showBubbleSize val="0"/>
        </c:dLbls>
        <c:gapWidth val="182"/>
        <c:axId val="445388432"/>
        <c:axId val="445390832"/>
      </c:barChart>
      <c:catAx>
        <c:axId val="44538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390832"/>
        <c:crosses val="autoZero"/>
        <c:auto val="1"/>
        <c:lblAlgn val="ctr"/>
        <c:lblOffset val="100"/>
        <c:noMultiLvlLbl val="0"/>
      </c:catAx>
      <c:valAx>
        <c:axId val="445390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38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[SCALER.xlsx]BASE!PivotTable20</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BASE!$BA$195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BASE!$AZ$196:$AZ$207</c:f>
              <c:strCache>
                <c:ptCount val="11"/>
                <c:pt idx="0">
                  <c:v>Sarah Johnson</c:v>
                </c:pt>
                <c:pt idx="1">
                  <c:v>Sneha Reddy</c:v>
                </c:pt>
                <c:pt idx="2">
                  <c:v>Mike Chen</c:v>
                </c:pt>
                <c:pt idx="3">
                  <c:v>Carlos Martinez</c:v>
                </c:pt>
                <c:pt idx="4">
                  <c:v>Lisa Rodriguez</c:v>
                </c:pt>
                <c:pt idx="5">
                  <c:v>Jessica Kim</c:v>
                </c:pt>
                <c:pt idx="6">
                  <c:v>Rohit Gupta</c:v>
                </c:pt>
                <c:pt idx="7">
                  <c:v>David Wilson</c:v>
                </c:pt>
                <c:pt idx="8">
                  <c:v>Amit Patel</c:v>
                </c:pt>
                <c:pt idx="9">
                  <c:v>Priya Sharma</c:v>
                </c:pt>
                <c:pt idx="10">
                  <c:v>Unknown_Handler</c:v>
                </c:pt>
              </c:strCache>
            </c:strRef>
          </c:cat>
          <c:val>
            <c:numRef>
              <c:f>BASE!$BA$196:$BA$207</c:f>
              <c:numCache>
                <c:formatCode>0.00</c:formatCode>
                <c:ptCount val="11"/>
                <c:pt idx="0">
                  <c:v>9.3318181818181802</c:v>
                </c:pt>
                <c:pt idx="1">
                  <c:v>8.8490909090909078</c:v>
                </c:pt>
                <c:pt idx="2">
                  <c:v>7.7472222222222218</c:v>
                </c:pt>
                <c:pt idx="3">
                  <c:v>6.7607692307692311</c:v>
                </c:pt>
                <c:pt idx="4">
                  <c:v>6.7217647058823538</c:v>
                </c:pt>
                <c:pt idx="5">
                  <c:v>6.5541935483870954</c:v>
                </c:pt>
                <c:pt idx="6">
                  <c:v>6.0371428571428565</c:v>
                </c:pt>
                <c:pt idx="7">
                  <c:v>5.9107692307692314</c:v>
                </c:pt>
                <c:pt idx="8">
                  <c:v>5.7713333333333328</c:v>
                </c:pt>
                <c:pt idx="9">
                  <c:v>4.8619999999999983</c:v>
                </c:pt>
                <c:pt idx="10">
                  <c:v>#N/A</c:v>
                </c:pt>
              </c:numCache>
            </c:numRef>
          </c:val>
          <c:extLst>
            <c:ext xmlns:c16="http://schemas.microsoft.com/office/drawing/2014/chart" uri="{C3380CC4-5D6E-409C-BE32-E72D297353CC}">
              <c16:uniqueId val="{00000000-DD0B-4FFC-B395-A2C5421581F1}"/>
            </c:ext>
          </c:extLst>
        </c:ser>
        <c:dLbls>
          <c:dLblPos val="outEnd"/>
          <c:showLegendKey val="0"/>
          <c:showVal val="1"/>
          <c:showCatName val="0"/>
          <c:showSerName val="0"/>
          <c:showPercent val="0"/>
          <c:showBubbleSize val="0"/>
        </c:dLbls>
        <c:gapWidth val="219"/>
        <c:overlap val="-27"/>
        <c:axId val="988923136"/>
        <c:axId val="988947616"/>
      </c:barChart>
      <c:catAx>
        <c:axId val="98892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947616"/>
        <c:crosses val="autoZero"/>
        <c:auto val="1"/>
        <c:lblAlgn val="ctr"/>
        <c:lblOffset val="100"/>
        <c:noMultiLvlLbl val="0"/>
      </c:catAx>
      <c:valAx>
        <c:axId val="9889476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92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[SCALER.xlsx]BASE!PivotTable17</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766047980313623E-2"/>
          <c:y val="7.3473818262944426E-2"/>
          <c:w val="0.74096238853741747"/>
          <c:h val="0.67068181316895259"/>
        </c:manualLayout>
      </c:layout>
      <c:barChart>
        <c:barDir val="col"/>
        <c:grouping val="clustered"/>
        <c:varyColors val="0"/>
        <c:ser>
          <c:idx val="0"/>
          <c:order val="0"/>
          <c:tx>
            <c:strRef>
              <c:f>BASE!$BA$137:$BA$138</c:f>
              <c:strCache>
                <c:ptCount val="1"/>
                <c:pt idx="0">
                  <c:v>Complete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BASE!$AZ$139:$AZ$150</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BASE!$BA$139:$BA$150</c:f>
              <c:numCache>
                <c:formatCode>General</c:formatCode>
                <c:ptCount val="11"/>
                <c:pt idx="0">
                  <c:v>32</c:v>
                </c:pt>
                <c:pt idx="1">
                  <c:v>17</c:v>
                </c:pt>
                <c:pt idx="2">
                  <c:v>18</c:v>
                </c:pt>
                <c:pt idx="3">
                  <c:v>14</c:v>
                </c:pt>
                <c:pt idx="4">
                  <c:v>18</c:v>
                </c:pt>
                <c:pt idx="5">
                  <c:v>16</c:v>
                </c:pt>
                <c:pt idx="6">
                  <c:v>12</c:v>
                </c:pt>
                <c:pt idx="7">
                  <c:v>13</c:v>
                </c:pt>
                <c:pt idx="8">
                  <c:v>15</c:v>
                </c:pt>
                <c:pt idx="9">
                  <c:v>11</c:v>
                </c:pt>
              </c:numCache>
            </c:numRef>
          </c:val>
          <c:extLst>
            <c:ext xmlns:c16="http://schemas.microsoft.com/office/drawing/2014/chart" uri="{C3380CC4-5D6E-409C-BE32-E72D297353CC}">
              <c16:uniqueId val="{00000000-B522-4D71-9EE5-1409875A8345}"/>
            </c:ext>
          </c:extLst>
        </c:ser>
        <c:ser>
          <c:idx val="1"/>
          <c:order val="1"/>
          <c:tx>
            <c:strRef>
              <c:f>BASE!$BB$137:$BB$138</c:f>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BASE!$AZ$139:$AZ$150</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BASE!$BB$139:$BB$150</c:f>
              <c:numCache>
                <c:formatCode>General</c:formatCode>
                <c:ptCount val="11"/>
                <c:pt idx="0">
                  <c:v>6</c:v>
                </c:pt>
                <c:pt idx="1">
                  <c:v>8</c:v>
                </c:pt>
                <c:pt idx="2">
                  <c:v>5</c:v>
                </c:pt>
                <c:pt idx="3">
                  <c:v>8</c:v>
                </c:pt>
                <c:pt idx="4">
                  <c:v>4</c:v>
                </c:pt>
                <c:pt idx="5">
                  <c:v>5</c:v>
                </c:pt>
                <c:pt idx="6">
                  <c:v>7</c:v>
                </c:pt>
                <c:pt idx="7">
                  <c:v>5</c:v>
                </c:pt>
                <c:pt idx="8">
                  <c:v>2</c:v>
                </c:pt>
                <c:pt idx="9">
                  <c:v>4</c:v>
                </c:pt>
                <c:pt idx="10">
                  <c:v>5</c:v>
                </c:pt>
              </c:numCache>
            </c:numRef>
          </c:val>
          <c:extLst>
            <c:ext xmlns:c16="http://schemas.microsoft.com/office/drawing/2014/chart" uri="{C3380CC4-5D6E-409C-BE32-E72D297353CC}">
              <c16:uniqueId val="{00000007-B522-4D71-9EE5-1409875A8345}"/>
            </c:ext>
          </c:extLst>
        </c:ser>
        <c:dLbls>
          <c:dLblPos val="outEnd"/>
          <c:showLegendKey val="0"/>
          <c:showVal val="1"/>
          <c:showCatName val="0"/>
          <c:showSerName val="0"/>
          <c:showPercent val="0"/>
          <c:showBubbleSize val="0"/>
        </c:dLbls>
        <c:gapWidth val="219"/>
        <c:overlap val="-27"/>
        <c:axId val="898314704"/>
        <c:axId val="898328144"/>
      </c:barChart>
      <c:catAx>
        <c:axId val="89831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28144"/>
        <c:crosses val="autoZero"/>
        <c:auto val="1"/>
        <c:lblAlgn val="ctr"/>
        <c:lblOffset val="100"/>
        <c:noMultiLvlLbl val="0"/>
      </c:catAx>
      <c:valAx>
        <c:axId val="898328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1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[SCALER.xlsx]BASE!PivotTable18</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BASE!$BA$156:$BA$157</c:f>
              <c:strCache>
                <c:ptCount val="1"/>
                <c:pt idx="0">
                  <c:v>1-4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BASE!$AZ$158:$AZ$168</c:f>
              <c:strCache>
                <c:ptCount val="10"/>
                <c:pt idx="0">
                  <c:v>Jessica Kim</c:v>
                </c:pt>
                <c:pt idx="1">
                  <c:v>Mike Chen</c:v>
                </c:pt>
                <c:pt idx="2">
                  <c:v>Lisa Rodriguez</c:v>
                </c:pt>
                <c:pt idx="3">
                  <c:v>Amit Patel</c:v>
                </c:pt>
                <c:pt idx="4">
                  <c:v>Priya Sharma</c:v>
                </c:pt>
                <c:pt idx="5">
                  <c:v>Rohit Gupta</c:v>
                </c:pt>
                <c:pt idx="6">
                  <c:v>Carlos Martinez</c:v>
                </c:pt>
                <c:pt idx="7">
                  <c:v>David Wilson</c:v>
                </c:pt>
                <c:pt idx="8">
                  <c:v>Sneha Reddy</c:v>
                </c:pt>
                <c:pt idx="9">
                  <c:v>Sarah Johnson</c:v>
                </c:pt>
              </c:strCache>
            </c:strRef>
          </c:cat>
          <c:val>
            <c:numRef>
              <c:f>BASE!$BA$158:$BA$168</c:f>
              <c:numCache>
                <c:formatCode>General</c:formatCode>
                <c:ptCount val="10"/>
                <c:pt idx="0">
                  <c:v>8</c:v>
                </c:pt>
                <c:pt idx="1">
                  <c:v>2</c:v>
                </c:pt>
                <c:pt idx="2">
                  <c:v>4</c:v>
                </c:pt>
                <c:pt idx="3">
                  <c:v>5</c:v>
                </c:pt>
                <c:pt idx="4">
                  <c:v>6</c:v>
                </c:pt>
                <c:pt idx="5">
                  <c:v>4</c:v>
                </c:pt>
                <c:pt idx="6">
                  <c:v>3</c:v>
                </c:pt>
                <c:pt idx="7">
                  <c:v>4</c:v>
                </c:pt>
                <c:pt idx="8">
                  <c:v>2</c:v>
                </c:pt>
                <c:pt idx="9">
                  <c:v>1</c:v>
                </c:pt>
              </c:numCache>
            </c:numRef>
          </c:val>
          <c:extLst>
            <c:ext xmlns:c16="http://schemas.microsoft.com/office/drawing/2014/chart" uri="{C3380CC4-5D6E-409C-BE32-E72D297353CC}">
              <c16:uniqueId val="{00000000-AE35-415B-BE01-94190C710222}"/>
            </c:ext>
          </c:extLst>
        </c:ser>
        <c:ser>
          <c:idx val="1"/>
          <c:order val="1"/>
          <c:tx>
            <c:strRef>
              <c:f>BASE!$BB$156:$BB$157</c:f>
              <c:strCache>
                <c:ptCount val="1"/>
                <c:pt idx="0">
                  <c:v>5-8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BASE!$AZ$158:$AZ$168</c:f>
              <c:strCache>
                <c:ptCount val="10"/>
                <c:pt idx="0">
                  <c:v>Jessica Kim</c:v>
                </c:pt>
                <c:pt idx="1">
                  <c:v>Mike Chen</c:v>
                </c:pt>
                <c:pt idx="2">
                  <c:v>Lisa Rodriguez</c:v>
                </c:pt>
                <c:pt idx="3">
                  <c:v>Amit Patel</c:v>
                </c:pt>
                <c:pt idx="4">
                  <c:v>Priya Sharma</c:v>
                </c:pt>
                <c:pt idx="5">
                  <c:v>Rohit Gupta</c:v>
                </c:pt>
                <c:pt idx="6">
                  <c:v>Carlos Martinez</c:v>
                </c:pt>
                <c:pt idx="7">
                  <c:v>David Wilson</c:v>
                </c:pt>
                <c:pt idx="8">
                  <c:v>Sneha Reddy</c:v>
                </c:pt>
                <c:pt idx="9">
                  <c:v>Sarah Johnson</c:v>
                </c:pt>
              </c:strCache>
            </c:strRef>
          </c:cat>
          <c:val>
            <c:numRef>
              <c:f>BASE!$BB$158:$BB$168</c:f>
              <c:numCache>
                <c:formatCode>General</c:formatCode>
                <c:ptCount val="10"/>
                <c:pt idx="0">
                  <c:v>13</c:v>
                </c:pt>
                <c:pt idx="1">
                  <c:v>9</c:v>
                </c:pt>
                <c:pt idx="2">
                  <c:v>7</c:v>
                </c:pt>
                <c:pt idx="3">
                  <c:v>6</c:v>
                </c:pt>
                <c:pt idx="4">
                  <c:v>7</c:v>
                </c:pt>
                <c:pt idx="5">
                  <c:v>5</c:v>
                </c:pt>
                <c:pt idx="6">
                  <c:v>4</c:v>
                </c:pt>
                <c:pt idx="7">
                  <c:v>5</c:v>
                </c:pt>
                <c:pt idx="8">
                  <c:v>1</c:v>
                </c:pt>
                <c:pt idx="9">
                  <c:v>1</c:v>
                </c:pt>
              </c:numCache>
            </c:numRef>
          </c:val>
          <c:extLst>
            <c:ext xmlns:c16="http://schemas.microsoft.com/office/drawing/2014/chart" uri="{C3380CC4-5D6E-409C-BE32-E72D297353CC}">
              <c16:uniqueId val="{0000000C-AE35-415B-BE01-94190C710222}"/>
            </c:ext>
          </c:extLst>
        </c:ser>
        <c:ser>
          <c:idx val="2"/>
          <c:order val="2"/>
          <c:tx>
            <c:strRef>
              <c:f>BASE!$BC$156:$BC$157</c:f>
              <c:strCache>
                <c:ptCount val="1"/>
                <c:pt idx="0">
                  <c:v>9-12 days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BASE!$AZ$158:$AZ$168</c:f>
              <c:strCache>
                <c:ptCount val="10"/>
                <c:pt idx="0">
                  <c:v>Jessica Kim</c:v>
                </c:pt>
                <c:pt idx="1">
                  <c:v>Mike Chen</c:v>
                </c:pt>
                <c:pt idx="2">
                  <c:v>Lisa Rodriguez</c:v>
                </c:pt>
                <c:pt idx="3">
                  <c:v>Amit Patel</c:v>
                </c:pt>
                <c:pt idx="4">
                  <c:v>Priya Sharma</c:v>
                </c:pt>
                <c:pt idx="5">
                  <c:v>Rohit Gupta</c:v>
                </c:pt>
                <c:pt idx="6">
                  <c:v>Carlos Martinez</c:v>
                </c:pt>
                <c:pt idx="7">
                  <c:v>David Wilson</c:v>
                </c:pt>
                <c:pt idx="8">
                  <c:v>Sneha Reddy</c:v>
                </c:pt>
                <c:pt idx="9">
                  <c:v>Sarah Johnson</c:v>
                </c:pt>
              </c:strCache>
            </c:strRef>
          </c:cat>
          <c:val>
            <c:numRef>
              <c:f>BASE!$BC$158:$BC$168</c:f>
              <c:numCache>
                <c:formatCode>General</c:formatCode>
                <c:ptCount val="10"/>
                <c:pt idx="0">
                  <c:v>10</c:v>
                </c:pt>
                <c:pt idx="1">
                  <c:v>7</c:v>
                </c:pt>
                <c:pt idx="2">
                  <c:v>6</c:v>
                </c:pt>
                <c:pt idx="3">
                  <c:v>4</c:v>
                </c:pt>
                <c:pt idx="4">
                  <c:v>2</c:v>
                </c:pt>
                <c:pt idx="5">
                  <c:v>5</c:v>
                </c:pt>
                <c:pt idx="6">
                  <c:v>6</c:v>
                </c:pt>
                <c:pt idx="7">
                  <c:v>4</c:v>
                </c:pt>
                <c:pt idx="8">
                  <c:v>8</c:v>
                </c:pt>
                <c:pt idx="9">
                  <c:v>9</c:v>
                </c:pt>
              </c:numCache>
            </c:numRef>
          </c:val>
          <c:extLst>
            <c:ext xmlns:c16="http://schemas.microsoft.com/office/drawing/2014/chart" uri="{C3380CC4-5D6E-409C-BE32-E72D297353CC}">
              <c16:uniqueId val="{0000000D-AE35-415B-BE01-94190C710222}"/>
            </c:ext>
          </c:extLst>
        </c:ser>
        <c:dLbls>
          <c:dLblPos val="outEnd"/>
          <c:showLegendKey val="0"/>
          <c:showVal val="1"/>
          <c:showCatName val="0"/>
          <c:showSerName val="0"/>
          <c:showPercent val="0"/>
          <c:showBubbleSize val="0"/>
        </c:dLbls>
        <c:gapWidth val="182"/>
        <c:axId val="991863360"/>
        <c:axId val="991874880"/>
      </c:barChart>
      <c:catAx>
        <c:axId val="99186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874880"/>
        <c:crosses val="autoZero"/>
        <c:auto val="1"/>
        <c:lblAlgn val="ctr"/>
        <c:lblOffset val="100"/>
        <c:noMultiLvlLbl val="0"/>
      </c:catAx>
      <c:valAx>
        <c:axId val="991874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86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[SCALER.xlsx]BASE!PivotTable19</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BASE!$BA$175:$BA$176</c:f>
              <c:strCache>
                <c:ptCount val="1"/>
                <c:pt idx="0">
                  <c:v>&gt;20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BASE!$AZ$177:$AZ$188</c:f>
              <c:strCache>
                <c:ptCount val="11"/>
                <c:pt idx="0">
                  <c:v>Carlos Martinez</c:v>
                </c:pt>
                <c:pt idx="1">
                  <c:v>Lisa Rodriguez</c:v>
                </c:pt>
                <c:pt idx="2">
                  <c:v>Sneha Reddy</c:v>
                </c:pt>
                <c:pt idx="3">
                  <c:v>Jessica Kim</c:v>
                </c:pt>
                <c:pt idx="4">
                  <c:v>David Wilson</c:v>
                </c:pt>
                <c:pt idx="5">
                  <c:v>Priya Sharma</c:v>
                </c:pt>
                <c:pt idx="6">
                  <c:v>Unknown_Handler</c:v>
                </c:pt>
                <c:pt idx="7">
                  <c:v>Amit Patel</c:v>
                </c:pt>
                <c:pt idx="8">
                  <c:v>Sarah Johnson</c:v>
                </c:pt>
                <c:pt idx="9">
                  <c:v>Mike Chen</c:v>
                </c:pt>
                <c:pt idx="10">
                  <c:v>Rohit Gupta</c:v>
                </c:pt>
              </c:strCache>
            </c:strRef>
          </c:cat>
          <c:val>
            <c:numRef>
              <c:f>BASE!$BA$177:$BA$188</c:f>
              <c:numCache>
                <c:formatCode>General</c:formatCode>
                <c:ptCount val="11"/>
                <c:pt idx="0">
                  <c:v>5</c:v>
                </c:pt>
                <c:pt idx="1">
                  <c:v>4</c:v>
                </c:pt>
                <c:pt idx="2">
                  <c:v>4</c:v>
                </c:pt>
                <c:pt idx="3">
                  <c:v>4</c:v>
                </c:pt>
                <c:pt idx="4">
                  <c:v>4</c:v>
                </c:pt>
                <c:pt idx="5">
                  <c:v>3</c:v>
                </c:pt>
                <c:pt idx="6">
                  <c:v>4</c:v>
                </c:pt>
                <c:pt idx="7">
                  <c:v>4</c:v>
                </c:pt>
                <c:pt idx="8">
                  <c:v>3</c:v>
                </c:pt>
                <c:pt idx="9">
                  <c:v>4</c:v>
                </c:pt>
                <c:pt idx="10">
                  <c:v>1</c:v>
                </c:pt>
              </c:numCache>
            </c:numRef>
          </c:val>
          <c:extLst>
            <c:ext xmlns:c16="http://schemas.microsoft.com/office/drawing/2014/chart" uri="{C3380CC4-5D6E-409C-BE32-E72D297353CC}">
              <c16:uniqueId val="{00000000-C8B1-4B3B-932A-80DF9A0C24D2}"/>
            </c:ext>
          </c:extLst>
        </c:ser>
        <c:ser>
          <c:idx val="1"/>
          <c:order val="1"/>
          <c:tx>
            <c:strRef>
              <c:f>BASE!$BB$175:$BB$176</c:f>
              <c:strCache>
                <c:ptCount val="1"/>
                <c:pt idx="0">
                  <c:v>8-20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BASE!$AZ$177:$AZ$188</c:f>
              <c:strCache>
                <c:ptCount val="11"/>
                <c:pt idx="0">
                  <c:v>Carlos Martinez</c:v>
                </c:pt>
                <c:pt idx="1">
                  <c:v>Lisa Rodriguez</c:v>
                </c:pt>
                <c:pt idx="2">
                  <c:v>Sneha Reddy</c:v>
                </c:pt>
                <c:pt idx="3">
                  <c:v>Jessica Kim</c:v>
                </c:pt>
                <c:pt idx="4">
                  <c:v>David Wilson</c:v>
                </c:pt>
                <c:pt idx="5">
                  <c:v>Priya Sharma</c:v>
                </c:pt>
                <c:pt idx="6">
                  <c:v>Unknown_Handler</c:v>
                </c:pt>
                <c:pt idx="7">
                  <c:v>Amit Patel</c:v>
                </c:pt>
                <c:pt idx="8">
                  <c:v>Sarah Johnson</c:v>
                </c:pt>
                <c:pt idx="9">
                  <c:v>Mike Chen</c:v>
                </c:pt>
                <c:pt idx="10">
                  <c:v>Rohit Gupta</c:v>
                </c:pt>
              </c:strCache>
            </c:strRef>
          </c:cat>
          <c:val>
            <c:numRef>
              <c:f>BASE!$BB$177:$BB$188</c:f>
              <c:numCache>
                <c:formatCode>General</c:formatCode>
                <c:ptCount val="11"/>
                <c:pt idx="0">
                  <c:v>3</c:v>
                </c:pt>
                <c:pt idx="1">
                  <c:v>4</c:v>
                </c:pt>
                <c:pt idx="2">
                  <c:v>3</c:v>
                </c:pt>
                <c:pt idx="3">
                  <c:v>2</c:v>
                </c:pt>
                <c:pt idx="4">
                  <c:v>1</c:v>
                </c:pt>
                <c:pt idx="5">
                  <c:v>2</c:v>
                </c:pt>
                <c:pt idx="6">
                  <c:v>1</c:v>
                </c:pt>
                <c:pt idx="7">
                  <c:v>1</c:v>
                </c:pt>
                <c:pt idx="8">
                  <c:v>1</c:v>
                </c:pt>
                <c:pt idx="10">
                  <c:v>1</c:v>
                </c:pt>
              </c:numCache>
            </c:numRef>
          </c:val>
          <c:extLst>
            <c:ext xmlns:c16="http://schemas.microsoft.com/office/drawing/2014/chart" uri="{C3380CC4-5D6E-409C-BE32-E72D297353CC}">
              <c16:uniqueId val="{0000000C-C8B1-4B3B-932A-80DF9A0C24D2}"/>
            </c:ext>
          </c:extLst>
        </c:ser>
        <c:dLbls>
          <c:dLblPos val="outEnd"/>
          <c:showLegendKey val="0"/>
          <c:showVal val="1"/>
          <c:showCatName val="0"/>
          <c:showSerName val="0"/>
          <c:showPercent val="0"/>
          <c:showBubbleSize val="0"/>
        </c:dLbls>
        <c:gapWidth val="182"/>
        <c:axId val="445388432"/>
        <c:axId val="445390832"/>
      </c:barChart>
      <c:catAx>
        <c:axId val="44538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390832"/>
        <c:crosses val="autoZero"/>
        <c:auto val="1"/>
        <c:lblAlgn val="ctr"/>
        <c:lblOffset val="100"/>
        <c:noMultiLvlLbl val="0"/>
      </c:catAx>
      <c:valAx>
        <c:axId val="445390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38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[SCALER.xlsx]BASE!PivotTable20</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BASE!$BA$195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BASE!$AZ$196:$AZ$207</c:f>
              <c:strCache>
                <c:ptCount val="11"/>
                <c:pt idx="0">
                  <c:v>Sarah Johnson</c:v>
                </c:pt>
                <c:pt idx="1">
                  <c:v>Sneha Reddy</c:v>
                </c:pt>
                <c:pt idx="2">
                  <c:v>Mike Chen</c:v>
                </c:pt>
                <c:pt idx="3">
                  <c:v>Carlos Martinez</c:v>
                </c:pt>
                <c:pt idx="4">
                  <c:v>Lisa Rodriguez</c:v>
                </c:pt>
                <c:pt idx="5">
                  <c:v>Jessica Kim</c:v>
                </c:pt>
                <c:pt idx="6">
                  <c:v>Rohit Gupta</c:v>
                </c:pt>
                <c:pt idx="7">
                  <c:v>David Wilson</c:v>
                </c:pt>
                <c:pt idx="8">
                  <c:v>Amit Patel</c:v>
                </c:pt>
                <c:pt idx="9">
                  <c:v>Priya Sharma</c:v>
                </c:pt>
                <c:pt idx="10">
                  <c:v>Unknown_Handler</c:v>
                </c:pt>
              </c:strCache>
            </c:strRef>
          </c:cat>
          <c:val>
            <c:numRef>
              <c:f>BASE!$BA$196:$BA$207</c:f>
              <c:numCache>
                <c:formatCode>0.00</c:formatCode>
                <c:ptCount val="11"/>
                <c:pt idx="0">
                  <c:v>9.3318181818181802</c:v>
                </c:pt>
                <c:pt idx="1">
                  <c:v>8.8490909090909078</c:v>
                </c:pt>
                <c:pt idx="2">
                  <c:v>7.7472222222222218</c:v>
                </c:pt>
                <c:pt idx="3">
                  <c:v>6.7607692307692311</c:v>
                </c:pt>
                <c:pt idx="4">
                  <c:v>6.7217647058823538</c:v>
                </c:pt>
                <c:pt idx="5">
                  <c:v>6.5541935483870954</c:v>
                </c:pt>
                <c:pt idx="6">
                  <c:v>6.0371428571428565</c:v>
                </c:pt>
                <c:pt idx="7">
                  <c:v>5.9107692307692314</c:v>
                </c:pt>
                <c:pt idx="8">
                  <c:v>5.7713333333333328</c:v>
                </c:pt>
                <c:pt idx="9">
                  <c:v>4.8619999999999983</c:v>
                </c:pt>
                <c:pt idx="10">
                  <c:v>#N/A</c:v>
                </c:pt>
              </c:numCache>
            </c:numRef>
          </c:val>
          <c:extLst>
            <c:ext xmlns:c16="http://schemas.microsoft.com/office/drawing/2014/chart" uri="{C3380CC4-5D6E-409C-BE32-E72D297353CC}">
              <c16:uniqueId val="{00000000-0198-4206-9AB9-B228D8A10C72}"/>
            </c:ext>
          </c:extLst>
        </c:ser>
        <c:dLbls>
          <c:dLblPos val="outEnd"/>
          <c:showLegendKey val="0"/>
          <c:showVal val="1"/>
          <c:showCatName val="0"/>
          <c:showSerName val="0"/>
          <c:showPercent val="0"/>
          <c:showBubbleSize val="0"/>
        </c:dLbls>
        <c:gapWidth val="219"/>
        <c:overlap val="-27"/>
        <c:axId val="988923136"/>
        <c:axId val="988947616"/>
      </c:barChart>
      <c:catAx>
        <c:axId val="98892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947616"/>
        <c:crosses val="autoZero"/>
        <c:auto val="1"/>
        <c:lblAlgn val="ctr"/>
        <c:lblOffset val="100"/>
        <c:noMultiLvlLbl val="0"/>
      </c:catAx>
      <c:valAx>
        <c:axId val="9889476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92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[SCALER.xlsx]BASE!PivotTable23</c:name>
    <c:fmtId val="12"/>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schemeClr>
          </a:solidFill>
          <a:ln>
            <a:noFill/>
          </a:ln>
          <a:effectLst/>
        </c:spPr>
        <c:dLbl>
          <c:idx val="0"/>
          <c:layout>
            <c:manualLayout>
              <c:x val="0"/>
              <c:y val="3.3086259488573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schemeClr>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BASE!$CH$14:$CH$16</c:f>
              <c:strCache>
                <c:ptCount val="1"/>
                <c:pt idx="0">
                  <c:v>Complete - COUNT OF TICKET PENDING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BASE!$CG$17:$CG$21</c:f>
              <c:strCache>
                <c:ptCount val="4"/>
                <c:pt idx="0">
                  <c:v>DSML</c:v>
                </c:pt>
                <c:pt idx="1">
                  <c:v>Academy</c:v>
                </c:pt>
                <c:pt idx="2">
                  <c:v>DevOps</c:v>
                </c:pt>
                <c:pt idx="3">
                  <c:v>AIML</c:v>
                </c:pt>
              </c:strCache>
            </c:strRef>
          </c:cat>
          <c:val>
            <c:numRef>
              <c:f>BASE!$CH$17:$CH$21</c:f>
              <c:numCache>
                <c:formatCode>General</c:formatCode>
                <c:ptCount val="4"/>
                <c:pt idx="0">
                  <c:v>45</c:v>
                </c:pt>
                <c:pt idx="1">
                  <c:v>46</c:v>
                </c:pt>
                <c:pt idx="2">
                  <c:v>37</c:v>
                </c:pt>
                <c:pt idx="3">
                  <c:v>38</c:v>
                </c:pt>
              </c:numCache>
            </c:numRef>
          </c:val>
          <c:extLst>
            <c:ext xmlns:c16="http://schemas.microsoft.com/office/drawing/2014/chart" uri="{C3380CC4-5D6E-409C-BE32-E72D297353CC}">
              <c16:uniqueId val="{00000000-9BAC-4E63-A498-9B508E98FACF}"/>
            </c:ext>
          </c:extLst>
        </c:ser>
        <c:ser>
          <c:idx val="1"/>
          <c:order val="1"/>
          <c:tx>
            <c:strRef>
              <c:f>BASE!$CI$14:$CI$16</c:f>
              <c:strCache>
                <c:ptCount val="1"/>
                <c:pt idx="0">
                  <c:v>Complete - PERCENTAGE COMPLETE</c:v>
                </c:pt>
              </c:strCache>
            </c:strRef>
          </c:tx>
          <c:spPr>
            <a:solidFill>
              <a:schemeClr val="accent5"/>
            </a:solidFill>
            <a:ln>
              <a:noFill/>
            </a:ln>
            <a:effectLst/>
          </c:spPr>
          <c:invertIfNegative val="0"/>
          <c:dLbls>
            <c:dLbl>
              <c:idx val="0"/>
              <c:layout>
                <c:manualLayout>
                  <c:x val="0"/>
                  <c:y val="3.3086259488573473E-2"/>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BASE!$CG$17:$CG$21</c:f>
              <c:strCache>
                <c:ptCount val="4"/>
                <c:pt idx="0">
                  <c:v>DSML</c:v>
                </c:pt>
                <c:pt idx="1">
                  <c:v>Academy</c:v>
                </c:pt>
                <c:pt idx="2">
                  <c:v>DevOps</c:v>
                </c:pt>
                <c:pt idx="3">
                  <c:v>AIML</c:v>
                </c:pt>
              </c:strCache>
            </c:strRef>
          </c:cat>
          <c:val>
            <c:numRef>
              <c:f>BASE!$CI$17:$CI$21</c:f>
              <c:numCache>
                <c:formatCode>0.00%</c:formatCode>
                <c:ptCount val="4"/>
                <c:pt idx="0">
                  <c:v>0.7142857142857143</c:v>
                </c:pt>
                <c:pt idx="1">
                  <c:v>0.73015873015873012</c:v>
                </c:pt>
                <c:pt idx="2">
                  <c:v>0.71153846153846156</c:v>
                </c:pt>
                <c:pt idx="3">
                  <c:v>0.80851063829787229</c:v>
                </c:pt>
              </c:numCache>
            </c:numRef>
          </c:val>
          <c:extLst>
            <c:ext xmlns:c16="http://schemas.microsoft.com/office/drawing/2014/chart" uri="{C3380CC4-5D6E-409C-BE32-E72D297353CC}">
              <c16:uniqueId val="{00000001-9BAC-4E63-A498-9B508E98FACF}"/>
            </c:ext>
          </c:extLst>
        </c:ser>
        <c:ser>
          <c:idx val="2"/>
          <c:order val="2"/>
          <c:tx>
            <c:strRef>
              <c:f>BASE!$CJ$14:$CJ$16</c:f>
              <c:strCache>
                <c:ptCount val="1"/>
                <c:pt idx="0">
                  <c:v>Pending - COUNT OF TICKET PENDING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BASE!$CG$17:$CG$21</c:f>
              <c:strCache>
                <c:ptCount val="4"/>
                <c:pt idx="0">
                  <c:v>DSML</c:v>
                </c:pt>
                <c:pt idx="1">
                  <c:v>Academy</c:v>
                </c:pt>
                <c:pt idx="2">
                  <c:v>DevOps</c:v>
                </c:pt>
                <c:pt idx="3">
                  <c:v>AIML</c:v>
                </c:pt>
              </c:strCache>
            </c:strRef>
          </c:cat>
          <c:val>
            <c:numRef>
              <c:f>BASE!$CJ$17:$CJ$21</c:f>
              <c:numCache>
                <c:formatCode>General</c:formatCode>
                <c:ptCount val="4"/>
                <c:pt idx="0">
                  <c:v>18</c:v>
                </c:pt>
                <c:pt idx="1">
                  <c:v>17</c:v>
                </c:pt>
                <c:pt idx="2">
                  <c:v>15</c:v>
                </c:pt>
                <c:pt idx="3">
                  <c:v>9</c:v>
                </c:pt>
              </c:numCache>
            </c:numRef>
          </c:val>
          <c:extLst>
            <c:ext xmlns:c16="http://schemas.microsoft.com/office/drawing/2014/chart" uri="{C3380CC4-5D6E-409C-BE32-E72D297353CC}">
              <c16:uniqueId val="{00000002-9BAC-4E63-A498-9B508E98FACF}"/>
            </c:ext>
          </c:extLst>
        </c:ser>
        <c:ser>
          <c:idx val="3"/>
          <c:order val="3"/>
          <c:tx>
            <c:strRef>
              <c:f>BASE!$CK$14:$CK$16</c:f>
              <c:strCache>
                <c:ptCount val="1"/>
                <c:pt idx="0">
                  <c:v>Pending - PERCENTAGE COMPLETE</c:v>
                </c:pt>
              </c:strCache>
            </c:strRef>
          </c:tx>
          <c:spPr>
            <a:solidFill>
              <a:schemeClr val="accent6">
                <a:lumMod val="60000"/>
              </a:schemeClr>
            </a:solidFill>
            <a:ln>
              <a:noFill/>
            </a:ln>
            <a:effectLst/>
          </c:spPr>
          <c:invertIfNegative val="0"/>
          <c:dLbls>
            <c:dLbl>
              <c:idx val="0"/>
              <c:layout>
                <c:manualLayout>
                  <c:x val="0"/>
                  <c:y val="3.3086259488573515E-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
              <c:layout>
                <c:manualLayout>
                  <c:x val="0"/>
                  <c:y val="3.308625948857347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AC-4E63-A498-9B508E98FA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BASE!$CG$17:$CG$21</c:f>
              <c:strCache>
                <c:ptCount val="4"/>
                <c:pt idx="0">
                  <c:v>DSML</c:v>
                </c:pt>
                <c:pt idx="1">
                  <c:v>Academy</c:v>
                </c:pt>
                <c:pt idx="2">
                  <c:v>DevOps</c:v>
                </c:pt>
                <c:pt idx="3">
                  <c:v>AIML</c:v>
                </c:pt>
              </c:strCache>
            </c:strRef>
          </c:cat>
          <c:val>
            <c:numRef>
              <c:f>BASE!$CK$17:$CK$21</c:f>
              <c:numCache>
                <c:formatCode>0.00%</c:formatCode>
                <c:ptCount val="4"/>
                <c:pt idx="0">
                  <c:v>0.2857142857142857</c:v>
                </c:pt>
                <c:pt idx="1">
                  <c:v>0.26984126984126983</c:v>
                </c:pt>
                <c:pt idx="2">
                  <c:v>0.28846153846153844</c:v>
                </c:pt>
                <c:pt idx="3">
                  <c:v>0.19148936170212766</c:v>
                </c:pt>
              </c:numCache>
            </c:numRef>
          </c:val>
          <c:extLst>
            <c:ext xmlns:c16="http://schemas.microsoft.com/office/drawing/2014/chart" uri="{C3380CC4-5D6E-409C-BE32-E72D297353CC}">
              <c16:uniqueId val="{00000003-9BAC-4E63-A498-9B508E98FACF}"/>
            </c:ext>
          </c:extLst>
        </c:ser>
        <c:dLbls>
          <c:dLblPos val="ctr"/>
          <c:showLegendKey val="0"/>
          <c:showVal val="1"/>
          <c:showCatName val="0"/>
          <c:showSerName val="0"/>
          <c:showPercent val="0"/>
          <c:showBubbleSize val="0"/>
        </c:dLbls>
        <c:gapWidth val="150"/>
        <c:overlap val="100"/>
        <c:axId val="722517760"/>
        <c:axId val="722491360"/>
      </c:barChart>
      <c:catAx>
        <c:axId val="72251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91360"/>
        <c:crosses val="autoZero"/>
        <c:auto val="1"/>
        <c:lblAlgn val="ctr"/>
        <c:lblOffset val="100"/>
        <c:noMultiLvlLbl val="0"/>
      </c:catAx>
      <c:valAx>
        <c:axId val="722491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1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[SCALER.xlsx]BASE!PivotTable24</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BASE!$CH$25:$CH$27</c:f>
              <c:strCache>
                <c:ptCount val="1"/>
                <c:pt idx="0">
                  <c:v>Complete - COUNT OF TICKET PENDING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BASE!$CG$28:$CG$32</c:f>
              <c:strCache>
                <c:ptCount val="4"/>
                <c:pt idx="0">
                  <c:v>Program &amp; Classroom (NPS)</c:v>
                </c:pt>
                <c:pt idx="1">
                  <c:v>Placement (NPS)</c:v>
                </c:pt>
                <c:pt idx="2">
                  <c:v>Others (NPS)</c:v>
                </c:pt>
                <c:pt idx="3">
                  <c:v>Tech (NPS)</c:v>
                </c:pt>
              </c:strCache>
            </c:strRef>
          </c:cat>
          <c:val>
            <c:numRef>
              <c:f>BASE!$CH$28:$CH$32</c:f>
              <c:numCache>
                <c:formatCode>General</c:formatCode>
                <c:ptCount val="4"/>
                <c:pt idx="0">
                  <c:v>62</c:v>
                </c:pt>
                <c:pt idx="1">
                  <c:v>57</c:v>
                </c:pt>
                <c:pt idx="2">
                  <c:v>27</c:v>
                </c:pt>
                <c:pt idx="3">
                  <c:v>20</c:v>
                </c:pt>
              </c:numCache>
            </c:numRef>
          </c:val>
          <c:extLst>
            <c:ext xmlns:c16="http://schemas.microsoft.com/office/drawing/2014/chart" uri="{C3380CC4-5D6E-409C-BE32-E72D297353CC}">
              <c16:uniqueId val="{00000000-65BB-48DD-B5BB-B19A01F55B94}"/>
            </c:ext>
          </c:extLst>
        </c:ser>
        <c:ser>
          <c:idx val="1"/>
          <c:order val="1"/>
          <c:tx>
            <c:strRef>
              <c:f>BASE!$CI$25:$CI$27</c:f>
              <c:strCache>
                <c:ptCount val="1"/>
                <c:pt idx="0">
                  <c:v>Complete - PERCENTAGE COMPLETE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BASE!$CG$28:$CG$32</c:f>
              <c:strCache>
                <c:ptCount val="4"/>
                <c:pt idx="0">
                  <c:v>Program &amp; Classroom (NPS)</c:v>
                </c:pt>
                <c:pt idx="1">
                  <c:v>Placement (NPS)</c:v>
                </c:pt>
                <c:pt idx="2">
                  <c:v>Others (NPS)</c:v>
                </c:pt>
                <c:pt idx="3">
                  <c:v>Tech (NPS)</c:v>
                </c:pt>
              </c:strCache>
            </c:strRef>
          </c:cat>
          <c:val>
            <c:numRef>
              <c:f>BASE!$CI$28:$CI$32</c:f>
              <c:numCache>
                <c:formatCode>0.00%</c:formatCode>
                <c:ptCount val="4"/>
                <c:pt idx="0">
                  <c:v>0.77500000000000002</c:v>
                </c:pt>
                <c:pt idx="1">
                  <c:v>0.73076923076923073</c:v>
                </c:pt>
                <c:pt idx="2">
                  <c:v>0.72972972972972971</c:v>
                </c:pt>
                <c:pt idx="3">
                  <c:v>0.66666666666666663</c:v>
                </c:pt>
              </c:numCache>
            </c:numRef>
          </c:val>
          <c:extLst>
            <c:ext xmlns:c16="http://schemas.microsoft.com/office/drawing/2014/chart" uri="{C3380CC4-5D6E-409C-BE32-E72D297353CC}">
              <c16:uniqueId val="{00000001-65BB-48DD-B5BB-B19A01F55B94}"/>
            </c:ext>
          </c:extLst>
        </c:ser>
        <c:ser>
          <c:idx val="2"/>
          <c:order val="2"/>
          <c:tx>
            <c:strRef>
              <c:f>BASE!$CJ$25:$CJ$27</c:f>
              <c:strCache>
                <c:ptCount val="1"/>
                <c:pt idx="0">
                  <c:v>Pending - COUNT OF TICKET PENDING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BASE!$CG$28:$CG$32</c:f>
              <c:strCache>
                <c:ptCount val="4"/>
                <c:pt idx="0">
                  <c:v>Program &amp; Classroom (NPS)</c:v>
                </c:pt>
                <c:pt idx="1">
                  <c:v>Placement (NPS)</c:v>
                </c:pt>
                <c:pt idx="2">
                  <c:v>Others (NPS)</c:v>
                </c:pt>
                <c:pt idx="3">
                  <c:v>Tech (NPS)</c:v>
                </c:pt>
              </c:strCache>
            </c:strRef>
          </c:cat>
          <c:val>
            <c:numRef>
              <c:f>BASE!$CJ$28:$CJ$32</c:f>
              <c:numCache>
                <c:formatCode>General</c:formatCode>
                <c:ptCount val="4"/>
                <c:pt idx="0">
                  <c:v>18</c:v>
                </c:pt>
                <c:pt idx="1">
                  <c:v>21</c:v>
                </c:pt>
                <c:pt idx="2">
                  <c:v>10</c:v>
                </c:pt>
                <c:pt idx="3">
                  <c:v>10</c:v>
                </c:pt>
              </c:numCache>
            </c:numRef>
          </c:val>
          <c:extLst>
            <c:ext xmlns:c16="http://schemas.microsoft.com/office/drawing/2014/chart" uri="{C3380CC4-5D6E-409C-BE32-E72D297353CC}">
              <c16:uniqueId val="{00000002-65BB-48DD-B5BB-B19A01F55B94}"/>
            </c:ext>
          </c:extLst>
        </c:ser>
        <c:ser>
          <c:idx val="3"/>
          <c:order val="3"/>
          <c:tx>
            <c:strRef>
              <c:f>BASE!$CK$25:$CK$27</c:f>
              <c:strCache>
                <c:ptCount val="1"/>
                <c:pt idx="0">
                  <c:v>Pending - PERCENTAGE COMPLETE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BASE!$CG$28:$CG$32</c:f>
              <c:strCache>
                <c:ptCount val="4"/>
                <c:pt idx="0">
                  <c:v>Program &amp; Classroom (NPS)</c:v>
                </c:pt>
                <c:pt idx="1">
                  <c:v>Placement (NPS)</c:v>
                </c:pt>
                <c:pt idx="2">
                  <c:v>Others (NPS)</c:v>
                </c:pt>
                <c:pt idx="3">
                  <c:v>Tech (NPS)</c:v>
                </c:pt>
              </c:strCache>
            </c:strRef>
          </c:cat>
          <c:val>
            <c:numRef>
              <c:f>BASE!$CK$28:$CK$32</c:f>
              <c:numCache>
                <c:formatCode>0.00%</c:formatCode>
                <c:ptCount val="4"/>
                <c:pt idx="0">
                  <c:v>0.22500000000000001</c:v>
                </c:pt>
                <c:pt idx="1">
                  <c:v>0.26923076923076922</c:v>
                </c:pt>
                <c:pt idx="2">
                  <c:v>0.27027027027027029</c:v>
                </c:pt>
                <c:pt idx="3">
                  <c:v>0.33333333333333331</c:v>
                </c:pt>
              </c:numCache>
            </c:numRef>
          </c:val>
          <c:extLst>
            <c:ext xmlns:c16="http://schemas.microsoft.com/office/drawing/2014/chart" uri="{C3380CC4-5D6E-409C-BE32-E72D297353CC}">
              <c16:uniqueId val="{00000003-65BB-48DD-B5BB-B19A01F55B94}"/>
            </c:ext>
          </c:extLst>
        </c:ser>
        <c:dLbls>
          <c:dLblPos val="ctr"/>
          <c:showLegendKey val="0"/>
          <c:showVal val="1"/>
          <c:showCatName val="0"/>
          <c:showSerName val="0"/>
          <c:showPercent val="0"/>
          <c:showBubbleSize val="0"/>
        </c:dLbls>
        <c:gapWidth val="150"/>
        <c:overlap val="100"/>
        <c:axId val="751609408"/>
        <c:axId val="751611328"/>
      </c:barChart>
      <c:catAx>
        <c:axId val="75160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11328"/>
        <c:crosses val="autoZero"/>
        <c:auto val="1"/>
        <c:lblAlgn val="ctr"/>
        <c:lblOffset val="100"/>
        <c:noMultiLvlLbl val="0"/>
      </c:catAx>
      <c:valAx>
        <c:axId val="751611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0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[SCALER.xlsx]BASE!PivotTable25</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BASE!$CH$34:$CH$36</c:f>
              <c:strCache>
                <c:ptCount val="1"/>
                <c:pt idx="0">
                  <c:v>Complete - COUNT OF TICKET PENDING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BASE!$CH$37:$CH$51</c:f>
              <c:numCache>
                <c:formatCode>General</c:formatCode>
                <c:ptCount val="14"/>
                <c:pt idx="0">
                  <c:v>14</c:v>
                </c:pt>
                <c:pt idx="1">
                  <c:v>14</c:v>
                </c:pt>
                <c:pt idx="2">
                  <c:v>9</c:v>
                </c:pt>
                <c:pt idx="3">
                  <c:v>16</c:v>
                </c:pt>
                <c:pt idx="4">
                  <c:v>13</c:v>
                </c:pt>
                <c:pt idx="5">
                  <c:v>14</c:v>
                </c:pt>
                <c:pt idx="6">
                  <c:v>11</c:v>
                </c:pt>
                <c:pt idx="7">
                  <c:v>12</c:v>
                </c:pt>
                <c:pt idx="8">
                  <c:v>11</c:v>
                </c:pt>
                <c:pt idx="9">
                  <c:v>9</c:v>
                </c:pt>
                <c:pt idx="10">
                  <c:v>9</c:v>
                </c:pt>
                <c:pt idx="11">
                  <c:v>12</c:v>
                </c:pt>
                <c:pt idx="12">
                  <c:v>12</c:v>
                </c:pt>
                <c:pt idx="13">
                  <c:v>10</c:v>
                </c:pt>
              </c:numCache>
            </c:numRef>
          </c:val>
          <c:extLst>
            <c:ext xmlns:c16="http://schemas.microsoft.com/office/drawing/2014/chart" uri="{C3380CC4-5D6E-409C-BE32-E72D297353CC}">
              <c16:uniqueId val="{00000000-B5D4-471E-9202-5FB41831A753}"/>
            </c:ext>
          </c:extLst>
        </c:ser>
        <c:ser>
          <c:idx val="1"/>
          <c:order val="1"/>
          <c:tx>
            <c:strRef>
              <c:f>BASE!$CI$34:$CI$36</c:f>
              <c:strCache>
                <c:ptCount val="1"/>
                <c:pt idx="0">
                  <c:v>Complete - PERCENTAGE COMPLETE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BASE!$CI$37:$CI$51</c:f>
              <c:numCache>
                <c:formatCode>0.00%</c:formatCode>
                <c:ptCount val="14"/>
                <c:pt idx="0">
                  <c:v>0.66666666666666663</c:v>
                </c:pt>
                <c:pt idx="1">
                  <c:v>0.73684210526315785</c:v>
                </c:pt>
                <c:pt idx="2">
                  <c:v>0.5</c:v>
                </c:pt>
                <c:pt idx="3">
                  <c:v>0.88888888888888884</c:v>
                </c:pt>
                <c:pt idx="4">
                  <c:v>0.72222222222222221</c:v>
                </c:pt>
                <c:pt idx="5">
                  <c:v>0.82352941176470584</c:v>
                </c:pt>
                <c:pt idx="6">
                  <c:v>0.6875</c:v>
                </c:pt>
                <c:pt idx="7">
                  <c:v>0.75</c:v>
                </c:pt>
                <c:pt idx="8">
                  <c:v>0.6875</c:v>
                </c:pt>
                <c:pt idx="9">
                  <c:v>0.6428571428571429</c:v>
                </c:pt>
                <c:pt idx="10">
                  <c:v>0.6428571428571429</c:v>
                </c:pt>
                <c:pt idx="11">
                  <c:v>0.8571428571428571</c:v>
                </c:pt>
                <c:pt idx="12">
                  <c:v>0.8571428571428571</c:v>
                </c:pt>
                <c:pt idx="13">
                  <c:v>1</c:v>
                </c:pt>
              </c:numCache>
            </c:numRef>
          </c:val>
          <c:extLst>
            <c:ext xmlns:c16="http://schemas.microsoft.com/office/drawing/2014/chart" uri="{C3380CC4-5D6E-409C-BE32-E72D297353CC}">
              <c16:uniqueId val="{00000001-B5D4-471E-9202-5FB41831A753}"/>
            </c:ext>
          </c:extLst>
        </c:ser>
        <c:ser>
          <c:idx val="2"/>
          <c:order val="2"/>
          <c:tx>
            <c:strRef>
              <c:f>BASE!$CJ$34:$CJ$36</c:f>
              <c:strCache>
                <c:ptCount val="1"/>
                <c:pt idx="0">
                  <c:v>Pending - COUNT OF TICKET PENDING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BASE!$CJ$37:$CJ$51</c:f>
              <c:numCache>
                <c:formatCode>General</c:formatCode>
                <c:ptCount val="14"/>
                <c:pt idx="0">
                  <c:v>7</c:v>
                </c:pt>
                <c:pt idx="1">
                  <c:v>5</c:v>
                </c:pt>
                <c:pt idx="2">
                  <c:v>9</c:v>
                </c:pt>
                <c:pt idx="3">
                  <c:v>2</c:v>
                </c:pt>
                <c:pt idx="4">
                  <c:v>5</c:v>
                </c:pt>
                <c:pt idx="5">
                  <c:v>3</c:v>
                </c:pt>
                <c:pt idx="6">
                  <c:v>5</c:v>
                </c:pt>
                <c:pt idx="7">
                  <c:v>4</c:v>
                </c:pt>
                <c:pt idx="8">
                  <c:v>5</c:v>
                </c:pt>
                <c:pt idx="9">
                  <c:v>5</c:v>
                </c:pt>
                <c:pt idx="10">
                  <c:v>5</c:v>
                </c:pt>
                <c:pt idx="11">
                  <c:v>2</c:v>
                </c:pt>
                <c:pt idx="12">
                  <c:v>2</c:v>
                </c:pt>
              </c:numCache>
            </c:numRef>
          </c:val>
          <c:extLst>
            <c:ext xmlns:c16="http://schemas.microsoft.com/office/drawing/2014/chart" uri="{C3380CC4-5D6E-409C-BE32-E72D297353CC}">
              <c16:uniqueId val="{00000002-B5D4-471E-9202-5FB41831A753}"/>
            </c:ext>
          </c:extLst>
        </c:ser>
        <c:ser>
          <c:idx val="3"/>
          <c:order val="3"/>
          <c:tx>
            <c:strRef>
              <c:f>BASE!$CK$34:$CK$36</c:f>
              <c:strCache>
                <c:ptCount val="1"/>
                <c:pt idx="0">
                  <c:v>Pending - PERCENTAGE COMPLETE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BASE!$CK$37:$CK$51</c:f>
              <c:numCache>
                <c:formatCode>0.00%</c:formatCode>
                <c:ptCount val="14"/>
                <c:pt idx="0">
                  <c:v>0.33333333333333331</c:v>
                </c:pt>
                <c:pt idx="1">
                  <c:v>0.26315789473684209</c:v>
                </c:pt>
                <c:pt idx="2">
                  <c:v>0.5</c:v>
                </c:pt>
                <c:pt idx="3">
                  <c:v>0.1111111111111111</c:v>
                </c:pt>
                <c:pt idx="4">
                  <c:v>0.27777777777777779</c:v>
                </c:pt>
                <c:pt idx="5">
                  <c:v>0.17647058823529413</c:v>
                </c:pt>
                <c:pt idx="6">
                  <c:v>0.3125</c:v>
                </c:pt>
                <c:pt idx="7">
                  <c:v>0.25</c:v>
                </c:pt>
                <c:pt idx="8">
                  <c:v>0.3125</c:v>
                </c:pt>
                <c:pt idx="9">
                  <c:v>0.35714285714285715</c:v>
                </c:pt>
                <c:pt idx="10">
                  <c:v>0.35714285714285715</c:v>
                </c:pt>
                <c:pt idx="11">
                  <c:v>0.14285714285714285</c:v>
                </c:pt>
                <c:pt idx="12">
                  <c:v>0.14285714285714285</c:v>
                </c:pt>
                <c:pt idx="13">
                  <c:v>0</c:v>
                </c:pt>
              </c:numCache>
            </c:numRef>
          </c:val>
          <c:extLst>
            <c:ext xmlns:c16="http://schemas.microsoft.com/office/drawing/2014/chart" uri="{C3380CC4-5D6E-409C-BE32-E72D297353CC}">
              <c16:uniqueId val="{00000003-B5D4-471E-9202-5FB41831A753}"/>
            </c:ext>
          </c:extLst>
        </c:ser>
        <c:dLbls>
          <c:dLblPos val="ctr"/>
          <c:showLegendKey val="0"/>
          <c:showVal val="1"/>
          <c:showCatName val="0"/>
          <c:showSerName val="0"/>
          <c:showPercent val="0"/>
          <c:showBubbleSize val="0"/>
        </c:dLbls>
        <c:gapWidth val="150"/>
        <c:overlap val="100"/>
        <c:axId val="1339159536"/>
        <c:axId val="1339160016"/>
      </c:barChart>
      <c:catAx>
        <c:axId val="133915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60016"/>
        <c:crosses val="autoZero"/>
        <c:auto val="1"/>
        <c:lblAlgn val="ctr"/>
        <c:lblOffset val="100"/>
        <c:noMultiLvlLbl val="0"/>
      </c:catAx>
      <c:valAx>
        <c:axId val="133916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5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[SCALER.xlsx]BASE!PivotTable26</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BASE!$CH$54:$CH$56</c:f>
              <c:strCache>
                <c:ptCount val="1"/>
                <c:pt idx="0">
                  <c:v>Complete - COUNT OF TICKET PENDING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BASE!$CG$57:$CG$68</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BASE!$CH$57:$CH$68</c:f>
              <c:numCache>
                <c:formatCode>General</c:formatCode>
                <c:ptCount val="11"/>
                <c:pt idx="0">
                  <c:v>32</c:v>
                </c:pt>
                <c:pt idx="1">
                  <c:v>17</c:v>
                </c:pt>
                <c:pt idx="2">
                  <c:v>18</c:v>
                </c:pt>
                <c:pt idx="3">
                  <c:v>14</c:v>
                </c:pt>
                <c:pt idx="4">
                  <c:v>18</c:v>
                </c:pt>
                <c:pt idx="5">
                  <c:v>16</c:v>
                </c:pt>
                <c:pt idx="6">
                  <c:v>12</c:v>
                </c:pt>
                <c:pt idx="7">
                  <c:v>13</c:v>
                </c:pt>
                <c:pt idx="8">
                  <c:v>15</c:v>
                </c:pt>
                <c:pt idx="9">
                  <c:v>11</c:v>
                </c:pt>
              </c:numCache>
            </c:numRef>
          </c:val>
          <c:extLst>
            <c:ext xmlns:c16="http://schemas.microsoft.com/office/drawing/2014/chart" uri="{C3380CC4-5D6E-409C-BE32-E72D297353CC}">
              <c16:uniqueId val="{00000000-F647-4735-85E3-D9FCD44FB98F}"/>
            </c:ext>
          </c:extLst>
        </c:ser>
        <c:ser>
          <c:idx val="1"/>
          <c:order val="1"/>
          <c:tx>
            <c:strRef>
              <c:f>BASE!$CI$54:$CI$56</c:f>
              <c:strCache>
                <c:ptCount val="1"/>
                <c:pt idx="0">
                  <c:v>Complete - PERCENTAGE COMPLETE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BASE!$CG$57:$CG$68</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BASE!$CI$57:$CI$68</c:f>
              <c:numCache>
                <c:formatCode>0.00%</c:formatCode>
                <c:ptCount val="11"/>
                <c:pt idx="0">
                  <c:v>0.84210526315789469</c:v>
                </c:pt>
                <c:pt idx="1">
                  <c:v>0.68</c:v>
                </c:pt>
                <c:pt idx="2">
                  <c:v>0.78260869565217395</c:v>
                </c:pt>
                <c:pt idx="3">
                  <c:v>0.63636363636363635</c:v>
                </c:pt>
                <c:pt idx="4">
                  <c:v>0.81818181818181823</c:v>
                </c:pt>
                <c:pt idx="5">
                  <c:v>0.76190476190476186</c:v>
                </c:pt>
                <c:pt idx="6">
                  <c:v>0.63157894736842102</c:v>
                </c:pt>
                <c:pt idx="7">
                  <c:v>0.72222222222222221</c:v>
                </c:pt>
                <c:pt idx="8">
                  <c:v>0.88235294117647056</c:v>
                </c:pt>
                <c:pt idx="9">
                  <c:v>0.73333333333333328</c:v>
                </c:pt>
                <c:pt idx="10">
                  <c:v>0</c:v>
                </c:pt>
              </c:numCache>
            </c:numRef>
          </c:val>
          <c:extLst>
            <c:ext xmlns:c16="http://schemas.microsoft.com/office/drawing/2014/chart" uri="{C3380CC4-5D6E-409C-BE32-E72D297353CC}">
              <c16:uniqueId val="{00000001-F647-4735-85E3-D9FCD44FB98F}"/>
            </c:ext>
          </c:extLst>
        </c:ser>
        <c:ser>
          <c:idx val="2"/>
          <c:order val="2"/>
          <c:tx>
            <c:strRef>
              <c:f>BASE!$CJ$54:$CJ$56</c:f>
              <c:strCache>
                <c:ptCount val="1"/>
                <c:pt idx="0">
                  <c:v>Pending - COUNT OF TICKET PENDING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BASE!$CG$57:$CG$68</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BASE!$CJ$57:$CJ$68</c:f>
              <c:numCache>
                <c:formatCode>General</c:formatCode>
                <c:ptCount val="11"/>
                <c:pt idx="0">
                  <c:v>6</c:v>
                </c:pt>
                <c:pt idx="1">
                  <c:v>8</c:v>
                </c:pt>
                <c:pt idx="2">
                  <c:v>5</c:v>
                </c:pt>
                <c:pt idx="3">
                  <c:v>8</c:v>
                </c:pt>
                <c:pt idx="4">
                  <c:v>4</c:v>
                </c:pt>
                <c:pt idx="5">
                  <c:v>5</c:v>
                </c:pt>
                <c:pt idx="6">
                  <c:v>7</c:v>
                </c:pt>
                <c:pt idx="7">
                  <c:v>5</c:v>
                </c:pt>
                <c:pt idx="8">
                  <c:v>2</c:v>
                </c:pt>
                <c:pt idx="9">
                  <c:v>4</c:v>
                </c:pt>
                <c:pt idx="10">
                  <c:v>5</c:v>
                </c:pt>
              </c:numCache>
            </c:numRef>
          </c:val>
          <c:extLst>
            <c:ext xmlns:c16="http://schemas.microsoft.com/office/drawing/2014/chart" uri="{C3380CC4-5D6E-409C-BE32-E72D297353CC}">
              <c16:uniqueId val="{00000002-F647-4735-85E3-D9FCD44FB98F}"/>
            </c:ext>
          </c:extLst>
        </c:ser>
        <c:ser>
          <c:idx val="3"/>
          <c:order val="3"/>
          <c:tx>
            <c:strRef>
              <c:f>BASE!$CK$54:$CK$56</c:f>
              <c:strCache>
                <c:ptCount val="1"/>
                <c:pt idx="0">
                  <c:v>Pending - PERCENTAGE COMPLETE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BASE!$CG$57:$CG$68</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BASE!$CK$57:$CK$68</c:f>
              <c:numCache>
                <c:formatCode>0.00%</c:formatCode>
                <c:ptCount val="11"/>
                <c:pt idx="0">
                  <c:v>0.15789473684210525</c:v>
                </c:pt>
                <c:pt idx="1">
                  <c:v>0.32</c:v>
                </c:pt>
                <c:pt idx="2">
                  <c:v>0.21739130434782608</c:v>
                </c:pt>
                <c:pt idx="3">
                  <c:v>0.36363636363636365</c:v>
                </c:pt>
                <c:pt idx="4">
                  <c:v>0.18181818181818182</c:v>
                </c:pt>
                <c:pt idx="5">
                  <c:v>0.23809523809523808</c:v>
                </c:pt>
                <c:pt idx="6">
                  <c:v>0.36842105263157893</c:v>
                </c:pt>
                <c:pt idx="7">
                  <c:v>0.27777777777777779</c:v>
                </c:pt>
                <c:pt idx="8">
                  <c:v>0.11764705882352941</c:v>
                </c:pt>
                <c:pt idx="9">
                  <c:v>0.26666666666666666</c:v>
                </c:pt>
                <c:pt idx="10">
                  <c:v>1</c:v>
                </c:pt>
              </c:numCache>
            </c:numRef>
          </c:val>
          <c:extLst>
            <c:ext xmlns:c16="http://schemas.microsoft.com/office/drawing/2014/chart" uri="{C3380CC4-5D6E-409C-BE32-E72D297353CC}">
              <c16:uniqueId val="{00000003-F647-4735-85E3-D9FCD44FB98F}"/>
            </c:ext>
          </c:extLst>
        </c:ser>
        <c:dLbls>
          <c:dLblPos val="ctr"/>
          <c:showLegendKey val="0"/>
          <c:showVal val="1"/>
          <c:showCatName val="0"/>
          <c:showSerName val="0"/>
          <c:showPercent val="0"/>
          <c:showBubbleSize val="0"/>
        </c:dLbls>
        <c:gapWidth val="150"/>
        <c:overlap val="100"/>
        <c:axId val="115374000"/>
        <c:axId val="115377360"/>
      </c:barChart>
      <c:catAx>
        <c:axId val="11537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7360"/>
        <c:crosses val="autoZero"/>
        <c:auto val="1"/>
        <c:lblAlgn val="ctr"/>
        <c:lblOffset val="100"/>
        <c:noMultiLvlLbl val="0"/>
      </c:catAx>
      <c:valAx>
        <c:axId val="11537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[SCALER.xlsx]BASE!PivotTable25</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BASE!$CH$34:$CH$36</c:f>
              <c:strCache>
                <c:ptCount val="1"/>
                <c:pt idx="0">
                  <c:v>Complete - COUNT OF TICKET PENDING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BASE!$CH$37:$CH$51</c:f>
              <c:numCache>
                <c:formatCode>General</c:formatCode>
                <c:ptCount val="14"/>
                <c:pt idx="0">
                  <c:v>14</c:v>
                </c:pt>
                <c:pt idx="1">
                  <c:v>14</c:v>
                </c:pt>
                <c:pt idx="2">
                  <c:v>9</c:v>
                </c:pt>
                <c:pt idx="3">
                  <c:v>16</c:v>
                </c:pt>
                <c:pt idx="4">
                  <c:v>13</c:v>
                </c:pt>
                <c:pt idx="5">
                  <c:v>14</c:v>
                </c:pt>
                <c:pt idx="6">
                  <c:v>11</c:v>
                </c:pt>
                <c:pt idx="7">
                  <c:v>12</c:v>
                </c:pt>
                <c:pt idx="8">
                  <c:v>11</c:v>
                </c:pt>
                <c:pt idx="9">
                  <c:v>9</c:v>
                </c:pt>
                <c:pt idx="10">
                  <c:v>9</c:v>
                </c:pt>
                <c:pt idx="11">
                  <c:v>12</c:v>
                </c:pt>
                <c:pt idx="12">
                  <c:v>12</c:v>
                </c:pt>
                <c:pt idx="13">
                  <c:v>10</c:v>
                </c:pt>
              </c:numCache>
            </c:numRef>
          </c:val>
          <c:extLst>
            <c:ext xmlns:c16="http://schemas.microsoft.com/office/drawing/2014/chart" uri="{C3380CC4-5D6E-409C-BE32-E72D297353CC}">
              <c16:uniqueId val="{00000000-8FD8-442C-A6C1-22BE57B533D3}"/>
            </c:ext>
          </c:extLst>
        </c:ser>
        <c:ser>
          <c:idx val="1"/>
          <c:order val="1"/>
          <c:tx>
            <c:strRef>
              <c:f>BASE!$CI$34:$CI$36</c:f>
              <c:strCache>
                <c:ptCount val="1"/>
                <c:pt idx="0">
                  <c:v>Complete - PERCENTAGE COMPLETE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BASE!$CI$37:$CI$51</c:f>
              <c:numCache>
                <c:formatCode>0.00%</c:formatCode>
                <c:ptCount val="14"/>
                <c:pt idx="0">
                  <c:v>0.66666666666666663</c:v>
                </c:pt>
                <c:pt idx="1">
                  <c:v>0.73684210526315785</c:v>
                </c:pt>
                <c:pt idx="2">
                  <c:v>0.5</c:v>
                </c:pt>
                <c:pt idx="3">
                  <c:v>0.88888888888888884</c:v>
                </c:pt>
                <c:pt idx="4">
                  <c:v>0.72222222222222221</c:v>
                </c:pt>
                <c:pt idx="5">
                  <c:v>0.82352941176470584</c:v>
                </c:pt>
                <c:pt idx="6">
                  <c:v>0.6875</c:v>
                </c:pt>
                <c:pt idx="7">
                  <c:v>0.75</c:v>
                </c:pt>
                <c:pt idx="8">
                  <c:v>0.6875</c:v>
                </c:pt>
                <c:pt idx="9">
                  <c:v>0.6428571428571429</c:v>
                </c:pt>
                <c:pt idx="10">
                  <c:v>0.6428571428571429</c:v>
                </c:pt>
                <c:pt idx="11">
                  <c:v>0.8571428571428571</c:v>
                </c:pt>
                <c:pt idx="12">
                  <c:v>0.8571428571428571</c:v>
                </c:pt>
                <c:pt idx="13">
                  <c:v>1</c:v>
                </c:pt>
              </c:numCache>
            </c:numRef>
          </c:val>
          <c:extLst>
            <c:ext xmlns:c16="http://schemas.microsoft.com/office/drawing/2014/chart" uri="{C3380CC4-5D6E-409C-BE32-E72D297353CC}">
              <c16:uniqueId val="{00000001-8FD8-442C-A6C1-22BE57B533D3}"/>
            </c:ext>
          </c:extLst>
        </c:ser>
        <c:ser>
          <c:idx val="2"/>
          <c:order val="2"/>
          <c:tx>
            <c:strRef>
              <c:f>BASE!$CJ$34:$CJ$36</c:f>
              <c:strCache>
                <c:ptCount val="1"/>
                <c:pt idx="0">
                  <c:v>Pending - COUNT OF TICKET PENDING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BASE!$CJ$37:$CJ$51</c:f>
              <c:numCache>
                <c:formatCode>General</c:formatCode>
                <c:ptCount val="14"/>
                <c:pt idx="0">
                  <c:v>7</c:v>
                </c:pt>
                <c:pt idx="1">
                  <c:v>5</c:v>
                </c:pt>
                <c:pt idx="2">
                  <c:v>9</c:v>
                </c:pt>
                <c:pt idx="3">
                  <c:v>2</c:v>
                </c:pt>
                <c:pt idx="4">
                  <c:v>5</c:v>
                </c:pt>
                <c:pt idx="5">
                  <c:v>3</c:v>
                </c:pt>
                <c:pt idx="6">
                  <c:v>5</c:v>
                </c:pt>
                <c:pt idx="7">
                  <c:v>4</c:v>
                </c:pt>
                <c:pt idx="8">
                  <c:v>5</c:v>
                </c:pt>
                <c:pt idx="9">
                  <c:v>5</c:v>
                </c:pt>
                <c:pt idx="10">
                  <c:v>5</c:v>
                </c:pt>
                <c:pt idx="11">
                  <c:v>2</c:v>
                </c:pt>
                <c:pt idx="12">
                  <c:v>2</c:v>
                </c:pt>
              </c:numCache>
            </c:numRef>
          </c:val>
          <c:extLst>
            <c:ext xmlns:c16="http://schemas.microsoft.com/office/drawing/2014/chart" uri="{C3380CC4-5D6E-409C-BE32-E72D297353CC}">
              <c16:uniqueId val="{00000002-8FD8-442C-A6C1-22BE57B533D3}"/>
            </c:ext>
          </c:extLst>
        </c:ser>
        <c:ser>
          <c:idx val="3"/>
          <c:order val="3"/>
          <c:tx>
            <c:strRef>
              <c:f>BASE!$CK$34:$CK$36</c:f>
              <c:strCache>
                <c:ptCount val="1"/>
                <c:pt idx="0">
                  <c:v>Pending - PERCENTAGE COMPLETE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BASE!$CK$37:$CK$51</c:f>
              <c:numCache>
                <c:formatCode>0.00%</c:formatCode>
                <c:ptCount val="14"/>
                <c:pt idx="0">
                  <c:v>0.33333333333333331</c:v>
                </c:pt>
                <c:pt idx="1">
                  <c:v>0.26315789473684209</c:v>
                </c:pt>
                <c:pt idx="2">
                  <c:v>0.5</c:v>
                </c:pt>
                <c:pt idx="3">
                  <c:v>0.1111111111111111</c:v>
                </c:pt>
                <c:pt idx="4">
                  <c:v>0.27777777777777779</c:v>
                </c:pt>
                <c:pt idx="5">
                  <c:v>0.17647058823529413</c:v>
                </c:pt>
                <c:pt idx="6">
                  <c:v>0.3125</c:v>
                </c:pt>
                <c:pt idx="7">
                  <c:v>0.25</c:v>
                </c:pt>
                <c:pt idx="8">
                  <c:v>0.3125</c:v>
                </c:pt>
                <c:pt idx="9">
                  <c:v>0.35714285714285715</c:v>
                </c:pt>
                <c:pt idx="10">
                  <c:v>0.35714285714285715</c:v>
                </c:pt>
                <c:pt idx="11">
                  <c:v>0.14285714285714285</c:v>
                </c:pt>
                <c:pt idx="12">
                  <c:v>0.14285714285714285</c:v>
                </c:pt>
                <c:pt idx="13">
                  <c:v>0</c:v>
                </c:pt>
              </c:numCache>
            </c:numRef>
          </c:val>
          <c:extLst>
            <c:ext xmlns:c16="http://schemas.microsoft.com/office/drawing/2014/chart" uri="{C3380CC4-5D6E-409C-BE32-E72D297353CC}">
              <c16:uniqueId val="{00000003-8FD8-442C-A6C1-22BE57B533D3}"/>
            </c:ext>
          </c:extLst>
        </c:ser>
        <c:dLbls>
          <c:dLblPos val="ctr"/>
          <c:showLegendKey val="0"/>
          <c:showVal val="1"/>
          <c:showCatName val="0"/>
          <c:showSerName val="0"/>
          <c:showPercent val="0"/>
          <c:showBubbleSize val="0"/>
        </c:dLbls>
        <c:gapWidth val="150"/>
        <c:overlap val="100"/>
        <c:axId val="1339159536"/>
        <c:axId val="1339160016"/>
      </c:barChart>
      <c:catAx>
        <c:axId val="133915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60016"/>
        <c:crosses val="autoZero"/>
        <c:auto val="1"/>
        <c:lblAlgn val="ctr"/>
        <c:lblOffset val="100"/>
        <c:noMultiLvlLbl val="0"/>
      </c:catAx>
      <c:valAx>
        <c:axId val="133916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5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[SCALER.xlsx]BASE!PivotTable25</c:name>
    <c:fmtId val="2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BASE!$CH$34:$CH$36</c:f>
              <c:strCache>
                <c:ptCount val="1"/>
                <c:pt idx="0">
                  <c:v>Complete - COUNT OF TICKET PENDING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BASE!$CH$37:$CH$51</c:f>
              <c:numCache>
                <c:formatCode>General</c:formatCode>
                <c:ptCount val="14"/>
                <c:pt idx="0">
                  <c:v>14</c:v>
                </c:pt>
                <c:pt idx="1">
                  <c:v>14</c:v>
                </c:pt>
                <c:pt idx="2">
                  <c:v>9</c:v>
                </c:pt>
                <c:pt idx="3">
                  <c:v>16</c:v>
                </c:pt>
                <c:pt idx="4">
                  <c:v>13</c:v>
                </c:pt>
                <c:pt idx="5">
                  <c:v>14</c:v>
                </c:pt>
                <c:pt idx="6">
                  <c:v>11</c:v>
                </c:pt>
                <c:pt idx="7">
                  <c:v>12</c:v>
                </c:pt>
                <c:pt idx="8">
                  <c:v>11</c:v>
                </c:pt>
                <c:pt idx="9">
                  <c:v>9</c:v>
                </c:pt>
                <c:pt idx="10">
                  <c:v>9</c:v>
                </c:pt>
                <c:pt idx="11">
                  <c:v>12</c:v>
                </c:pt>
                <c:pt idx="12">
                  <c:v>12</c:v>
                </c:pt>
                <c:pt idx="13">
                  <c:v>10</c:v>
                </c:pt>
              </c:numCache>
            </c:numRef>
          </c:val>
          <c:extLst>
            <c:ext xmlns:c16="http://schemas.microsoft.com/office/drawing/2014/chart" uri="{C3380CC4-5D6E-409C-BE32-E72D297353CC}">
              <c16:uniqueId val="{00000000-E739-4BCF-9478-3DB80F40B509}"/>
            </c:ext>
          </c:extLst>
        </c:ser>
        <c:ser>
          <c:idx val="1"/>
          <c:order val="1"/>
          <c:tx>
            <c:strRef>
              <c:f>BASE!$CI$34:$CI$36</c:f>
              <c:strCache>
                <c:ptCount val="1"/>
                <c:pt idx="0">
                  <c:v>Complete - PERCENTAGE COMPLETE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BASE!$CI$37:$CI$51</c:f>
              <c:numCache>
                <c:formatCode>0.00%</c:formatCode>
                <c:ptCount val="14"/>
                <c:pt idx="0">
                  <c:v>0.66666666666666663</c:v>
                </c:pt>
                <c:pt idx="1">
                  <c:v>0.73684210526315785</c:v>
                </c:pt>
                <c:pt idx="2">
                  <c:v>0.5</c:v>
                </c:pt>
                <c:pt idx="3">
                  <c:v>0.88888888888888884</c:v>
                </c:pt>
                <c:pt idx="4">
                  <c:v>0.72222222222222221</c:v>
                </c:pt>
                <c:pt idx="5">
                  <c:v>0.82352941176470584</c:v>
                </c:pt>
                <c:pt idx="6">
                  <c:v>0.6875</c:v>
                </c:pt>
                <c:pt idx="7">
                  <c:v>0.75</c:v>
                </c:pt>
                <c:pt idx="8">
                  <c:v>0.6875</c:v>
                </c:pt>
                <c:pt idx="9">
                  <c:v>0.6428571428571429</c:v>
                </c:pt>
                <c:pt idx="10">
                  <c:v>0.6428571428571429</c:v>
                </c:pt>
                <c:pt idx="11">
                  <c:v>0.8571428571428571</c:v>
                </c:pt>
                <c:pt idx="12">
                  <c:v>0.8571428571428571</c:v>
                </c:pt>
                <c:pt idx="13">
                  <c:v>1</c:v>
                </c:pt>
              </c:numCache>
            </c:numRef>
          </c:val>
          <c:extLst>
            <c:ext xmlns:c16="http://schemas.microsoft.com/office/drawing/2014/chart" uri="{C3380CC4-5D6E-409C-BE32-E72D297353CC}">
              <c16:uniqueId val="{00000001-E739-4BCF-9478-3DB80F40B509}"/>
            </c:ext>
          </c:extLst>
        </c:ser>
        <c:ser>
          <c:idx val="2"/>
          <c:order val="2"/>
          <c:tx>
            <c:strRef>
              <c:f>BASE!$CJ$34:$CJ$36</c:f>
              <c:strCache>
                <c:ptCount val="1"/>
                <c:pt idx="0">
                  <c:v>Pending - COUNT OF TICKET PENDING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BASE!$CJ$37:$CJ$51</c:f>
              <c:numCache>
                <c:formatCode>General</c:formatCode>
                <c:ptCount val="14"/>
                <c:pt idx="0">
                  <c:v>7</c:v>
                </c:pt>
                <c:pt idx="1">
                  <c:v>5</c:v>
                </c:pt>
                <c:pt idx="2">
                  <c:v>9</c:v>
                </c:pt>
                <c:pt idx="3">
                  <c:v>2</c:v>
                </c:pt>
                <c:pt idx="4">
                  <c:v>5</c:v>
                </c:pt>
                <c:pt idx="5">
                  <c:v>3</c:v>
                </c:pt>
                <c:pt idx="6">
                  <c:v>5</c:v>
                </c:pt>
                <c:pt idx="7">
                  <c:v>4</c:v>
                </c:pt>
                <c:pt idx="8">
                  <c:v>5</c:v>
                </c:pt>
                <c:pt idx="9">
                  <c:v>5</c:v>
                </c:pt>
                <c:pt idx="10">
                  <c:v>5</c:v>
                </c:pt>
                <c:pt idx="11">
                  <c:v>2</c:v>
                </c:pt>
                <c:pt idx="12">
                  <c:v>2</c:v>
                </c:pt>
              </c:numCache>
            </c:numRef>
          </c:val>
          <c:extLst>
            <c:ext xmlns:c16="http://schemas.microsoft.com/office/drawing/2014/chart" uri="{C3380CC4-5D6E-409C-BE32-E72D297353CC}">
              <c16:uniqueId val="{00000002-E739-4BCF-9478-3DB80F40B509}"/>
            </c:ext>
          </c:extLst>
        </c:ser>
        <c:ser>
          <c:idx val="3"/>
          <c:order val="3"/>
          <c:tx>
            <c:strRef>
              <c:f>BASE!$CK$34:$CK$36</c:f>
              <c:strCache>
                <c:ptCount val="1"/>
                <c:pt idx="0">
                  <c:v>Pending - PERCENTAGE COMPLETE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BASE!$CK$37:$CK$51</c:f>
              <c:numCache>
                <c:formatCode>0.00%</c:formatCode>
                <c:ptCount val="14"/>
                <c:pt idx="0">
                  <c:v>0.33333333333333331</c:v>
                </c:pt>
                <c:pt idx="1">
                  <c:v>0.26315789473684209</c:v>
                </c:pt>
                <c:pt idx="2">
                  <c:v>0.5</c:v>
                </c:pt>
                <c:pt idx="3">
                  <c:v>0.1111111111111111</c:v>
                </c:pt>
                <c:pt idx="4">
                  <c:v>0.27777777777777779</c:v>
                </c:pt>
                <c:pt idx="5">
                  <c:v>0.17647058823529413</c:v>
                </c:pt>
                <c:pt idx="6">
                  <c:v>0.3125</c:v>
                </c:pt>
                <c:pt idx="7">
                  <c:v>0.25</c:v>
                </c:pt>
                <c:pt idx="8">
                  <c:v>0.3125</c:v>
                </c:pt>
                <c:pt idx="9">
                  <c:v>0.35714285714285715</c:v>
                </c:pt>
                <c:pt idx="10">
                  <c:v>0.35714285714285715</c:v>
                </c:pt>
                <c:pt idx="11">
                  <c:v>0.14285714285714285</c:v>
                </c:pt>
                <c:pt idx="12">
                  <c:v>0.14285714285714285</c:v>
                </c:pt>
                <c:pt idx="13">
                  <c:v>0</c:v>
                </c:pt>
              </c:numCache>
            </c:numRef>
          </c:val>
          <c:extLst>
            <c:ext xmlns:c16="http://schemas.microsoft.com/office/drawing/2014/chart" uri="{C3380CC4-5D6E-409C-BE32-E72D297353CC}">
              <c16:uniqueId val="{00000003-E739-4BCF-9478-3DB80F40B509}"/>
            </c:ext>
          </c:extLst>
        </c:ser>
        <c:dLbls>
          <c:dLblPos val="ctr"/>
          <c:showLegendKey val="0"/>
          <c:showVal val="1"/>
          <c:showCatName val="0"/>
          <c:showSerName val="0"/>
          <c:showPercent val="0"/>
          <c:showBubbleSize val="0"/>
        </c:dLbls>
        <c:gapWidth val="150"/>
        <c:overlap val="100"/>
        <c:axId val="1339159536"/>
        <c:axId val="1339160016"/>
      </c:barChart>
      <c:catAx>
        <c:axId val="133915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60016"/>
        <c:crosses val="autoZero"/>
        <c:auto val="1"/>
        <c:lblAlgn val="ctr"/>
        <c:lblOffset val="100"/>
        <c:noMultiLvlLbl val="0"/>
      </c:catAx>
      <c:valAx>
        <c:axId val="133916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5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[SCALER.xlsx]BASE!PivotTable26</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BASE!$CH$54:$CH$56</c:f>
              <c:strCache>
                <c:ptCount val="1"/>
                <c:pt idx="0">
                  <c:v>Complete - COUNT OF TICKET PENDING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BASE!$CG$57:$CG$68</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BASE!$CH$57:$CH$68</c:f>
              <c:numCache>
                <c:formatCode>General</c:formatCode>
                <c:ptCount val="11"/>
                <c:pt idx="0">
                  <c:v>32</c:v>
                </c:pt>
                <c:pt idx="1">
                  <c:v>17</c:v>
                </c:pt>
                <c:pt idx="2">
                  <c:v>18</c:v>
                </c:pt>
                <c:pt idx="3">
                  <c:v>14</c:v>
                </c:pt>
                <c:pt idx="4">
                  <c:v>18</c:v>
                </c:pt>
                <c:pt idx="5">
                  <c:v>16</c:v>
                </c:pt>
                <c:pt idx="6">
                  <c:v>12</c:v>
                </c:pt>
                <c:pt idx="7">
                  <c:v>13</c:v>
                </c:pt>
                <c:pt idx="8">
                  <c:v>15</c:v>
                </c:pt>
                <c:pt idx="9">
                  <c:v>11</c:v>
                </c:pt>
              </c:numCache>
            </c:numRef>
          </c:val>
          <c:extLst>
            <c:ext xmlns:c16="http://schemas.microsoft.com/office/drawing/2014/chart" uri="{C3380CC4-5D6E-409C-BE32-E72D297353CC}">
              <c16:uniqueId val="{00000000-C960-4E8F-AF6C-BC8FFDABE429}"/>
            </c:ext>
          </c:extLst>
        </c:ser>
        <c:ser>
          <c:idx val="1"/>
          <c:order val="1"/>
          <c:tx>
            <c:strRef>
              <c:f>BASE!$CI$54:$CI$56</c:f>
              <c:strCache>
                <c:ptCount val="1"/>
                <c:pt idx="0">
                  <c:v>Complete - PERCENTAGE COMPLETE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BASE!$CG$57:$CG$68</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BASE!$CI$57:$CI$68</c:f>
              <c:numCache>
                <c:formatCode>0.00%</c:formatCode>
                <c:ptCount val="11"/>
                <c:pt idx="0">
                  <c:v>0.84210526315789469</c:v>
                </c:pt>
                <c:pt idx="1">
                  <c:v>0.68</c:v>
                </c:pt>
                <c:pt idx="2">
                  <c:v>0.78260869565217395</c:v>
                </c:pt>
                <c:pt idx="3">
                  <c:v>0.63636363636363635</c:v>
                </c:pt>
                <c:pt idx="4">
                  <c:v>0.81818181818181823</c:v>
                </c:pt>
                <c:pt idx="5">
                  <c:v>0.76190476190476186</c:v>
                </c:pt>
                <c:pt idx="6">
                  <c:v>0.63157894736842102</c:v>
                </c:pt>
                <c:pt idx="7">
                  <c:v>0.72222222222222221</c:v>
                </c:pt>
                <c:pt idx="8">
                  <c:v>0.88235294117647056</c:v>
                </c:pt>
                <c:pt idx="9">
                  <c:v>0.73333333333333328</c:v>
                </c:pt>
                <c:pt idx="10">
                  <c:v>0</c:v>
                </c:pt>
              </c:numCache>
            </c:numRef>
          </c:val>
          <c:extLst>
            <c:ext xmlns:c16="http://schemas.microsoft.com/office/drawing/2014/chart" uri="{C3380CC4-5D6E-409C-BE32-E72D297353CC}">
              <c16:uniqueId val="{00000001-C960-4E8F-AF6C-BC8FFDABE429}"/>
            </c:ext>
          </c:extLst>
        </c:ser>
        <c:ser>
          <c:idx val="2"/>
          <c:order val="2"/>
          <c:tx>
            <c:strRef>
              <c:f>BASE!$CJ$54:$CJ$56</c:f>
              <c:strCache>
                <c:ptCount val="1"/>
                <c:pt idx="0">
                  <c:v>Pending - COUNT OF TICKET PENDING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BASE!$CG$57:$CG$68</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BASE!$CJ$57:$CJ$68</c:f>
              <c:numCache>
                <c:formatCode>General</c:formatCode>
                <c:ptCount val="11"/>
                <c:pt idx="0">
                  <c:v>6</c:v>
                </c:pt>
                <c:pt idx="1">
                  <c:v>8</c:v>
                </c:pt>
                <c:pt idx="2">
                  <c:v>5</c:v>
                </c:pt>
                <c:pt idx="3">
                  <c:v>8</c:v>
                </c:pt>
                <c:pt idx="4">
                  <c:v>4</c:v>
                </c:pt>
                <c:pt idx="5">
                  <c:v>5</c:v>
                </c:pt>
                <c:pt idx="6">
                  <c:v>7</c:v>
                </c:pt>
                <c:pt idx="7">
                  <c:v>5</c:v>
                </c:pt>
                <c:pt idx="8">
                  <c:v>2</c:v>
                </c:pt>
                <c:pt idx="9">
                  <c:v>4</c:v>
                </c:pt>
                <c:pt idx="10">
                  <c:v>5</c:v>
                </c:pt>
              </c:numCache>
            </c:numRef>
          </c:val>
          <c:extLst>
            <c:ext xmlns:c16="http://schemas.microsoft.com/office/drawing/2014/chart" uri="{C3380CC4-5D6E-409C-BE32-E72D297353CC}">
              <c16:uniqueId val="{00000002-C960-4E8F-AF6C-BC8FFDABE429}"/>
            </c:ext>
          </c:extLst>
        </c:ser>
        <c:ser>
          <c:idx val="3"/>
          <c:order val="3"/>
          <c:tx>
            <c:strRef>
              <c:f>BASE!$CK$54:$CK$56</c:f>
              <c:strCache>
                <c:ptCount val="1"/>
                <c:pt idx="0">
                  <c:v>Pending - PERCENTAGE COMPLETE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BASE!$CG$57:$CG$68</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BASE!$CK$57:$CK$68</c:f>
              <c:numCache>
                <c:formatCode>0.00%</c:formatCode>
                <c:ptCount val="11"/>
                <c:pt idx="0">
                  <c:v>0.15789473684210525</c:v>
                </c:pt>
                <c:pt idx="1">
                  <c:v>0.32</c:v>
                </c:pt>
                <c:pt idx="2">
                  <c:v>0.21739130434782608</c:v>
                </c:pt>
                <c:pt idx="3">
                  <c:v>0.36363636363636365</c:v>
                </c:pt>
                <c:pt idx="4">
                  <c:v>0.18181818181818182</c:v>
                </c:pt>
                <c:pt idx="5">
                  <c:v>0.23809523809523808</c:v>
                </c:pt>
                <c:pt idx="6">
                  <c:v>0.36842105263157893</c:v>
                </c:pt>
                <c:pt idx="7">
                  <c:v>0.27777777777777779</c:v>
                </c:pt>
                <c:pt idx="8">
                  <c:v>0.11764705882352941</c:v>
                </c:pt>
                <c:pt idx="9">
                  <c:v>0.26666666666666666</c:v>
                </c:pt>
                <c:pt idx="10">
                  <c:v>1</c:v>
                </c:pt>
              </c:numCache>
            </c:numRef>
          </c:val>
          <c:extLst>
            <c:ext xmlns:c16="http://schemas.microsoft.com/office/drawing/2014/chart" uri="{C3380CC4-5D6E-409C-BE32-E72D297353CC}">
              <c16:uniqueId val="{00000003-C960-4E8F-AF6C-BC8FFDABE429}"/>
            </c:ext>
          </c:extLst>
        </c:ser>
        <c:dLbls>
          <c:dLblPos val="ctr"/>
          <c:showLegendKey val="0"/>
          <c:showVal val="1"/>
          <c:showCatName val="0"/>
          <c:showSerName val="0"/>
          <c:showPercent val="0"/>
          <c:showBubbleSize val="0"/>
        </c:dLbls>
        <c:gapWidth val="150"/>
        <c:overlap val="100"/>
        <c:axId val="115374000"/>
        <c:axId val="115377360"/>
      </c:barChart>
      <c:catAx>
        <c:axId val="11537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7360"/>
        <c:crosses val="autoZero"/>
        <c:auto val="1"/>
        <c:lblAlgn val="ctr"/>
        <c:lblOffset val="100"/>
        <c:noMultiLvlLbl val="0"/>
      </c:catAx>
      <c:valAx>
        <c:axId val="11537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[SCALER.xlsx]BASE!PivotTable24</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BASE!$CH$25:$CH$27</c:f>
              <c:strCache>
                <c:ptCount val="1"/>
                <c:pt idx="0">
                  <c:v>Complete - COUNT OF TICKET PENDING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BASE!$CG$28:$CG$32</c:f>
              <c:strCache>
                <c:ptCount val="4"/>
                <c:pt idx="0">
                  <c:v>Program &amp; Classroom (NPS)</c:v>
                </c:pt>
                <c:pt idx="1">
                  <c:v>Placement (NPS)</c:v>
                </c:pt>
                <c:pt idx="2">
                  <c:v>Others (NPS)</c:v>
                </c:pt>
                <c:pt idx="3">
                  <c:v>Tech (NPS)</c:v>
                </c:pt>
              </c:strCache>
            </c:strRef>
          </c:cat>
          <c:val>
            <c:numRef>
              <c:f>BASE!$CH$28:$CH$32</c:f>
              <c:numCache>
                <c:formatCode>General</c:formatCode>
                <c:ptCount val="4"/>
                <c:pt idx="0">
                  <c:v>62</c:v>
                </c:pt>
                <c:pt idx="1">
                  <c:v>57</c:v>
                </c:pt>
                <c:pt idx="2">
                  <c:v>27</c:v>
                </c:pt>
                <c:pt idx="3">
                  <c:v>20</c:v>
                </c:pt>
              </c:numCache>
            </c:numRef>
          </c:val>
          <c:extLst>
            <c:ext xmlns:c16="http://schemas.microsoft.com/office/drawing/2014/chart" uri="{C3380CC4-5D6E-409C-BE32-E72D297353CC}">
              <c16:uniqueId val="{00000000-A1FF-4E24-81DF-889D2E89B1E4}"/>
            </c:ext>
          </c:extLst>
        </c:ser>
        <c:ser>
          <c:idx val="1"/>
          <c:order val="1"/>
          <c:tx>
            <c:strRef>
              <c:f>BASE!$CI$25:$CI$27</c:f>
              <c:strCache>
                <c:ptCount val="1"/>
                <c:pt idx="0">
                  <c:v>Complete - PERCENTAGE COMPLETE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BASE!$CG$28:$CG$32</c:f>
              <c:strCache>
                <c:ptCount val="4"/>
                <c:pt idx="0">
                  <c:v>Program &amp; Classroom (NPS)</c:v>
                </c:pt>
                <c:pt idx="1">
                  <c:v>Placement (NPS)</c:v>
                </c:pt>
                <c:pt idx="2">
                  <c:v>Others (NPS)</c:v>
                </c:pt>
                <c:pt idx="3">
                  <c:v>Tech (NPS)</c:v>
                </c:pt>
              </c:strCache>
            </c:strRef>
          </c:cat>
          <c:val>
            <c:numRef>
              <c:f>BASE!$CI$28:$CI$32</c:f>
              <c:numCache>
                <c:formatCode>0.00%</c:formatCode>
                <c:ptCount val="4"/>
                <c:pt idx="0">
                  <c:v>0.77500000000000002</c:v>
                </c:pt>
                <c:pt idx="1">
                  <c:v>0.73076923076923073</c:v>
                </c:pt>
                <c:pt idx="2">
                  <c:v>0.72972972972972971</c:v>
                </c:pt>
                <c:pt idx="3">
                  <c:v>0.66666666666666663</c:v>
                </c:pt>
              </c:numCache>
            </c:numRef>
          </c:val>
          <c:extLst>
            <c:ext xmlns:c16="http://schemas.microsoft.com/office/drawing/2014/chart" uri="{C3380CC4-5D6E-409C-BE32-E72D297353CC}">
              <c16:uniqueId val="{00000001-A1FF-4E24-81DF-889D2E89B1E4}"/>
            </c:ext>
          </c:extLst>
        </c:ser>
        <c:ser>
          <c:idx val="2"/>
          <c:order val="2"/>
          <c:tx>
            <c:strRef>
              <c:f>BASE!$CJ$25:$CJ$27</c:f>
              <c:strCache>
                <c:ptCount val="1"/>
                <c:pt idx="0">
                  <c:v>Pending - COUNT OF TICKET PENDING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BASE!$CG$28:$CG$32</c:f>
              <c:strCache>
                <c:ptCount val="4"/>
                <c:pt idx="0">
                  <c:v>Program &amp; Classroom (NPS)</c:v>
                </c:pt>
                <c:pt idx="1">
                  <c:v>Placement (NPS)</c:v>
                </c:pt>
                <c:pt idx="2">
                  <c:v>Others (NPS)</c:v>
                </c:pt>
                <c:pt idx="3">
                  <c:v>Tech (NPS)</c:v>
                </c:pt>
              </c:strCache>
            </c:strRef>
          </c:cat>
          <c:val>
            <c:numRef>
              <c:f>BASE!$CJ$28:$CJ$32</c:f>
              <c:numCache>
                <c:formatCode>General</c:formatCode>
                <c:ptCount val="4"/>
                <c:pt idx="0">
                  <c:v>18</c:v>
                </c:pt>
                <c:pt idx="1">
                  <c:v>21</c:v>
                </c:pt>
                <c:pt idx="2">
                  <c:v>10</c:v>
                </c:pt>
                <c:pt idx="3">
                  <c:v>10</c:v>
                </c:pt>
              </c:numCache>
            </c:numRef>
          </c:val>
          <c:extLst>
            <c:ext xmlns:c16="http://schemas.microsoft.com/office/drawing/2014/chart" uri="{C3380CC4-5D6E-409C-BE32-E72D297353CC}">
              <c16:uniqueId val="{00000002-A1FF-4E24-81DF-889D2E89B1E4}"/>
            </c:ext>
          </c:extLst>
        </c:ser>
        <c:ser>
          <c:idx val="3"/>
          <c:order val="3"/>
          <c:tx>
            <c:strRef>
              <c:f>BASE!$CK$25:$CK$27</c:f>
              <c:strCache>
                <c:ptCount val="1"/>
                <c:pt idx="0">
                  <c:v>Pending - PERCENTAGE COMPLETE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BASE!$CG$28:$CG$32</c:f>
              <c:strCache>
                <c:ptCount val="4"/>
                <c:pt idx="0">
                  <c:v>Program &amp; Classroom (NPS)</c:v>
                </c:pt>
                <c:pt idx="1">
                  <c:v>Placement (NPS)</c:v>
                </c:pt>
                <c:pt idx="2">
                  <c:v>Others (NPS)</c:v>
                </c:pt>
                <c:pt idx="3">
                  <c:v>Tech (NPS)</c:v>
                </c:pt>
              </c:strCache>
            </c:strRef>
          </c:cat>
          <c:val>
            <c:numRef>
              <c:f>BASE!$CK$28:$CK$32</c:f>
              <c:numCache>
                <c:formatCode>0.00%</c:formatCode>
                <c:ptCount val="4"/>
                <c:pt idx="0">
                  <c:v>0.22500000000000001</c:v>
                </c:pt>
                <c:pt idx="1">
                  <c:v>0.26923076923076922</c:v>
                </c:pt>
                <c:pt idx="2">
                  <c:v>0.27027027027027029</c:v>
                </c:pt>
                <c:pt idx="3">
                  <c:v>0.33333333333333331</c:v>
                </c:pt>
              </c:numCache>
            </c:numRef>
          </c:val>
          <c:extLst>
            <c:ext xmlns:c16="http://schemas.microsoft.com/office/drawing/2014/chart" uri="{C3380CC4-5D6E-409C-BE32-E72D297353CC}">
              <c16:uniqueId val="{00000003-A1FF-4E24-81DF-889D2E89B1E4}"/>
            </c:ext>
          </c:extLst>
        </c:ser>
        <c:dLbls>
          <c:dLblPos val="ctr"/>
          <c:showLegendKey val="0"/>
          <c:showVal val="1"/>
          <c:showCatName val="0"/>
          <c:showSerName val="0"/>
          <c:showPercent val="0"/>
          <c:showBubbleSize val="0"/>
        </c:dLbls>
        <c:gapWidth val="150"/>
        <c:overlap val="100"/>
        <c:axId val="751609408"/>
        <c:axId val="751611328"/>
      </c:barChart>
      <c:catAx>
        <c:axId val="75160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11328"/>
        <c:crosses val="autoZero"/>
        <c:auto val="1"/>
        <c:lblAlgn val="ctr"/>
        <c:lblOffset val="100"/>
        <c:noMultiLvlLbl val="0"/>
      </c:catAx>
      <c:valAx>
        <c:axId val="751611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0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[SCALER.xlsx]BASE!PivotTable23</c:name>
    <c:fmtId val="24"/>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schemeClr>
          </a:solidFill>
          <a:ln>
            <a:noFill/>
          </a:ln>
          <a:effectLst/>
        </c:spPr>
        <c:dLbl>
          <c:idx val="0"/>
          <c:layout>
            <c:manualLayout>
              <c:x val="0"/>
              <c:y val="3.3086259488573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schemeClr>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schemeClr>
          </a:solidFill>
          <a:ln>
            <a:noFill/>
          </a:ln>
          <a:effectLst/>
        </c:spPr>
        <c:dLbl>
          <c:idx val="0"/>
          <c:layout>
            <c:manualLayout>
              <c:x val="0"/>
              <c:y val="3.3086259488573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schemeClr>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60000"/>
            </a:schemeClr>
          </a:solidFill>
          <a:ln>
            <a:noFill/>
          </a:ln>
          <a:effectLst/>
        </c:spPr>
        <c:dLbl>
          <c:idx val="0"/>
          <c:layout>
            <c:manualLayout>
              <c:x val="0"/>
              <c:y val="3.3086259488573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60000"/>
            </a:schemeClr>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BASE!$CH$14:$CH$16</c:f>
              <c:strCache>
                <c:ptCount val="1"/>
                <c:pt idx="0">
                  <c:v>Complete - COUNT OF TICKET PENDING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BASE!$CG$17:$CG$21</c:f>
              <c:strCache>
                <c:ptCount val="4"/>
                <c:pt idx="0">
                  <c:v>DSML</c:v>
                </c:pt>
                <c:pt idx="1">
                  <c:v>Academy</c:v>
                </c:pt>
                <c:pt idx="2">
                  <c:v>DevOps</c:v>
                </c:pt>
                <c:pt idx="3">
                  <c:v>AIML</c:v>
                </c:pt>
              </c:strCache>
            </c:strRef>
          </c:cat>
          <c:val>
            <c:numRef>
              <c:f>BASE!$CH$17:$CH$21</c:f>
              <c:numCache>
                <c:formatCode>General</c:formatCode>
                <c:ptCount val="4"/>
                <c:pt idx="0">
                  <c:v>45</c:v>
                </c:pt>
                <c:pt idx="1">
                  <c:v>46</c:v>
                </c:pt>
                <c:pt idx="2">
                  <c:v>37</c:v>
                </c:pt>
                <c:pt idx="3">
                  <c:v>38</c:v>
                </c:pt>
              </c:numCache>
            </c:numRef>
          </c:val>
          <c:extLst>
            <c:ext xmlns:c16="http://schemas.microsoft.com/office/drawing/2014/chart" uri="{C3380CC4-5D6E-409C-BE32-E72D297353CC}">
              <c16:uniqueId val="{00000000-FB50-49BD-9F04-CC72F05294B0}"/>
            </c:ext>
          </c:extLst>
        </c:ser>
        <c:ser>
          <c:idx val="1"/>
          <c:order val="1"/>
          <c:tx>
            <c:strRef>
              <c:f>BASE!$CI$14:$CI$16</c:f>
              <c:strCache>
                <c:ptCount val="1"/>
                <c:pt idx="0">
                  <c:v>Complete - PERCENTAGE COMPLETE</c:v>
                </c:pt>
              </c:strCache>
            </c:strRef>
          </c:tx>
          <c:spPr>
            <a:solidFill>
              <a:schemeClr val="accent5"/>
            </a:solidFill>
            <a:ln>
              <a:noFill/>
            </a:ln>
            <a:effectLst/>
          </c:spPr>
          <c:invertIfNegative val="0"/>
          <c:dLbls>
            <c:dLbl>
              <c:idx val="0"/>
              <c:layout>
                <c:manualLayout>
                  <c:x val="0"/>
                  <c:y val="3.308625948857347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50-49BD-9F04-CC72F05294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BASE!$CG$17:$CG$21</c:f>
              <c:strCache>
                <c:ptCount val="4"/>
                <c:pt idx="0">
                  <c:v>DSML</c:v>
                </c:pt>
                <c:pt idx="1">
                  <c:v>Academy</c:v>
                </c:pt>
                <c:pt idx="2">
                  <c:v>DevOps</c:v>
                </c:pt>
                <c:pt idx="3">
                  <c:v>AIML</c:v>
                </c:pt>
              </c:strCache>
            </c:strRef>
          </c:cat>
          <c:val>
            <c:numRef>
              <c:f>BASE!$CI$17:$CI$21</c:f>
              <c:numCache>
                <c:formatCode>0.00%</c:formatCode>
                <c:ptCount val="4"/>
                <c:pt idx="0">
                  <c:v>0.7142857142857143</c:v>
                </c:pt>
                <c:pt idx="1">
                  <c:v>0.73015873015873012</c:v>
                </c:pt>
                <c:pt idx="2">
                  <c:v>0.71153846153846156</c:v>
                </c:pt>
                <c:pt idx="3">
                  <c:v>0.80851063829787229</c:v>
                </c:pt>
              </c:numCache>
            </c:numRef>
          </c:val>
          <c:extLst>
            <c:ext xmlns:c16="http://schemas.microsoft.com/office/drawing/2014/chart" uri="{C3380CC4-5D6E-409C-BE32-E72D297353CC}">
              <c16:uniqueId val="{00000002-FB50-49BD-9F04-CC72F05294B0}"/>
            </c:ext>
          </c:extLst>
        </c:ser>
        <c:ser>
          <c:idx val="2"/>
          <c:order val="2"/>
          <c:tx>
            <c:strRef>
              <c:f>BASE!$CJ$14:$CJ$16</c:f>
              <c:strCache>
                <c:ptCount val="1"/>
                <c:pt idx="0">
                  <c:v>Pending - COUNT OF TICKET PENDING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BASE!$CG$17:$CG$21</c:f>
              <c:strCache>
                <c:ptCount val="4"/>
                <c:pt idx="0">
                  <c:v>DSML</c:v>
                </c:pt>
                <c:pt idx="1">
                  <c:v>Academy</c:v>
                </c:pt>
                <c:pt idx="2">
                  <c:v>DevOps</c:v>
                </c:pt>
                <c:pt idx="3">
                  <c:v>AIML</c:v>
                </c:pt>
              </c:strCache>
            </c:strRef>
          </c:cat>
          <c:val>
            <c:numRef>
              <c:f>BASE!$CJ$17:$CJ$21</c:f>
              <c:numCache>
                <c:formatCode>General</c:formatCode>
                <c:ptCount val="4"/>
                <c:pt idx="0">
                  <c:v>18</c:v>
                </c:pt>
                <c:pt idx="1">
                  <c:v>17</c:v>
                </c:pt>
                <c:pt idx="2">
                  <c:v>15</c:v>
                </c:pt>
                <c:pt idx="3">
                  <c:v>9</c:v>
                </c:pt>
              </c:numCache>
            </c:numRef>
          </c:val>
          <c:extLst>
            <c:ext xmlns:c16="http://schemas.microsoft.com/office/drawing/2014/chart" uri="{C3380CC4-5D6E-409C-BE32-E72D297353CC}">
              <c16:uniqueId val="{00000003-FB50-49BD-9F04-CC72F05294B0}"/>
            </c:ext>
          </c:extLst>
        </c:ser>
        <c:ser>
          <c:idx val="3"/>
          <c:order val="3"/>
          <c:tx>
            <c:strRef>
              <c:f>BASE!$CK$14:$CK$16</c:f>
              <c:strCache>
                <c:ptCount val="1"/>
                <c:pt idx="0">
                  <c:v>Pending - PERCENTAGE COMPLETE</c:v>
                </c:pt>
              </c:strCache>
            </c:strRef>
          </c:tx>
          <c:spPr>
            <a:solidFill>
              <a:schemeClr val="accent6">
                <a:lumMod val="60000"/>
              </a:schemeClr>
            </a:solidFill>
            <a:ln>
              <a:noFill/>
            </a:ln>
            <a:effectLst/>
          </c:spPr>
          <c:invertIfNegative val="0"/>
          <c:dLbls>
            <c:dLbl>
              <c:idx val="0"/>
              <c:layout>
                <c:manualLayout>
                  <c:x val="0"/>
                  <c:y val="3.308625948857351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50-49BD-9F04-CC72F05294B0}"/>
                </c:ext>
              </c:extLst>
            </c:dLbl>
            <c:dLbl>
              <c:idx val="2"/>
              <c:layout>
                <c:manualLayout>
                  <c:x val="0"/>
                  <c:y val="3.308625948857347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50-49BD-9F04-CC72F05294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BASE!$CG$17:$CG$21</c:f>
              <c:strCache>
                <c:ptCount val="4"/>
                <c:pt idx="0">
                  <c:v>DSML</c:v>
                </c:pt>
                <c:pt idx="1">
                  <c:v>Academy</c:v>
                </c:pt>
                <c:pt idx="2">
                  <c:v>DevOps</c:v>
                </c:pt>
                <c:pt idx="3">
                  <c:v>AIML</c:v>
                </c:pt>
              </c:strCache>
            </c:strRef>
          </c:cat>
          <c:val>
            <c:numRef>
              <c:f>BASE!$CK$17:$CK$21</c:f>
              <c:numCache>
                <c:formatCode>0.00%</c:formatCode>
                <c:ptCount val="4"/>
                <c:pt idx="0">
                  <c:v>0.2857142857142857</c:v>
                </c:pt>
                <c:pt idx="1">
                  <c:v>0.26984126984126983</c:v>
                </c:pt>
                <c:pt idx="2">
                  <c:v>0.28846153846153844</c:v>
                </c:pt>
                <c:pt idx="3">
                  <c:v>0.19148936170212766</c:v>
                </c:pt>
              </c:numCache>
            </c:numRef>
          </c:val>
          <c:extLst>
            <c:ext xmlns:c16="http://schemas.microsoft.com/office/drawing/2014/chart" uri="{C3380CC4-5D6E-409C-BE32-E72D297353CC}">
              <c16:uniqueId val="{00000006-FB50-49BD-9F04-CC72F05294B0}"/>
            </c:ext>
          </c:extLst>
        </c:ser>
        <c:dLbls>
          <c:dLblPos val="ctr"/>
          <c:showLegendKey val="0"/>
          <c:showVal val="1"/>
          <c:showCatName val="0"/>
          <c:showSerName val="0"/>
          <c:showPercent val="0"/>
          <c:showBubbleSize val="0"/>
        </c:dLbls>
        <c:gapWidth val="150"/>
        <c:overlap val="100"/>
        <c:axId val="722517760"/>
        <c:axId val="722491360"/>
      </c:barChart>
      <c:catAx>
        <c:axId val="72251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91360"/>
        <c:crosses val="autoZero"/>
        <c:auto val="1"/>
        <c:lblAlgn val="ctr"/>
        <c:lblOffset val="100"/>
        <c:noMultiLvlLbl val="0"/>
      </c:catAx>
      <c:valAx>
        <c:axId val="722491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1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ISSUE</a:t>
            </a:r>
            <a:r>
              <a:rPr lang="en-US" baseline="0"/>
              <a:t> CAT VS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TASK_2.1!$B$44</c:f>
              <c:strCache>
                <c:ptCount val="1"/>
                <c:pt idx="0">
                  <c:v>Average of Hours_In_Solved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TASK_2.1!$A$45:$A$48</c:f>
              <c:strCache>
                <c:ptCount val="4"/>
                <c:pt idx="0">
                  <c:v>Tech (NPS)</c:v>
                </c:pt>
                <c:pt idx="1">
                  <c:v>Program &amp; Classroom (NPS)</c:v>
                </c:pt>
                <c:pt idx="2">
                  <c:v>Placement (NPS)</c:v>
                </c:pt>
                <c:pt idx="3">
                  <c:v>Others (NPS)</c:v>
                </c:pt>
              </c:strCache>
            </c:strRef>
          </c:cat>
          <c:val>
            <c:numRef>
              <c:f>TASK_2.1!$B$45:$B$48</c:f>
              <c:numCache>
                <c:formatCode>0.00</c:formatCode>
                <c:ptCount val="4"/>
                <c:pt idx="0">
                  <c:v>148.0260818713455</c:v>
                </c:pt>
                <c:pt idx="1">
                  <c:v>155.20839814814389</c:v>
                </c:pt>
                <c:pt idx="2">
                  <c:v>165.57894654087019</c:v>
                </c:pt>
                <c:pt idx="3">
                  <c:v>179.82965811967958</c:v>
                </c:pt>
              </c:numCache>
            </c:numRef>
          </c:val>
          <c:extLst>
            <c:ext xmlns:c16="http://schemas.microsoft.com/office/drawing/2014/chart" uri="{C3380CC4-5D6E-409C-BE32-E72D297353CC}">
              <c16:uniqueId val="{00000000-CDA0-43CF-8753-C98DA441D2B5}"/>
            </c:ext>
          </c:extLst>
        </c:ser>
        <c:dLbls>
          <c:dLblPos val="outEnd"/>
          <c:showLegendKey val="0"/>
          <c:showVal val="1"/>
          <c:showCatName val="0"/>
          <c:showSerName val="0"/>
          <c:showPercent val="0"/>
          <c:showBubbleSize val="0"/>
        </c:dLbls>
        <c:gapWidth val="182"/>
        <c:axId val="1179447999"/>
        <c:axId val="1179448479"/>
      </c:barChart>
      <c:catAx>
        <c:axId val="11794479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ISSUE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48479"/>
        <c:crosses val="autoZero"/>
        <c:auto val="1"/>
        <c:lblAlgn val="ctr"/>
        <c:lblOffset val="100"/>
        <c:noMultiLvlLbl val="0"/>
      </c:catAx>
      <c:valAx>
        <c:axId val="117944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HOURS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479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TICKET DISTRIBTUION ACROSS ISSUE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TASK_2.1!$D$3</c:f>
              <c:strCache>
                <c:ptCount val="1"/>
                <c:pt idx="0">
                  <c:v>Grand 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TASK_2.1!$A$4:$A$18</c15:sqref>
                  </c15:fullRef>
                </c:ext>
              </c:extLst>
              <c:f>TASK_2.1!$A$4:$A$17</c:f>
              <c:strCache>
                <c:ptCount val="14"/>
                <c:pt idx="0">
                  <c:v>Looking For Career Guidance (NPS)</c:v>
                </c:pt>
                <c:pt idx="1">
                  <c:v>Applied for jobs but no satisfactory outcome (NPS)</c:v>
                </c:pt>
                <c:pt idx="2">
                  <c:v>Projects &amp; Assignment Related Concern (NPS)</c:v>
                </c:pt>
                <c:pt idx="3">
                  <c:v>Time Management Related Concerns (NPS)</c:v>
                </c:pt>
                <c:pt idx="4">
                  <c:v>False Promise By Sales Team (NPS)</c:v>
                </c:pt>
                <c:pt idx="5">
                  <c:v>Mentor Support Related Concerns (NPS)</c:v>
                </c:pt>
                <c:pt idx="6">
                  <c:v>Unhappy With The Class Timings (NPS)</c:v>
                </c:pt>
                <c:pt idx="7">
                  <c:v>TA Support Related Concerns (NPS)</c:v>
                </c:pt>
                <c:pt idx="8">
                  <c:v>Frequent Resume Rejection (NPS)</c:v>
                </c:pt>
                <c:pt idx="9">
                  <c:v>Instructor Related Feedback (NPS)</c:v>
                </c:pt>
                <c:pt idx="10">
                  <c:v>Lecture Notes Related (NPS)</c:v>
                </c:pt>
                <c:pt idx="11">
                  <c:v>Poor Class video quality (NPS)</c:v>
                </c:pt>
                <c:pt idx="12">
                  <c:v>Not eligible for placements (NPS)</c:v>
                </c:pt>
                <c:pt idx="13">
                  <c:v>Unhappy With Course Curriculum (NPS)</c:v>
                </c:pt>
              </c:strCache>
            </c:strRef>
          </c:cat>
          <c:val>
            <c:numRef>
              <c:extLst>
                <c:ext xmlns:c15="http://schemas.microsoft.com/office/drawing/2012/chart" uri="{02D57815-91ED-43cb-92C2-25804820EDAC}">
                  <c15:fullRef>
                    <c15:sqref>TASK_2.1!$D$4:$D$18</c15:sqref>
                  </c15:fullRef>
                </c:ext>
              </c:extLst>
              <c:f>TASK_2.1!$D$4:$D$17</c:f>
              <c:numCache>
                <c:formatCode>General</c:formatCode>
                <c:ptCount val="14"/>
                <c:pt idx="0">
                  <c:v>21</c:v>
                </c:pt>
                <c:pt idx="1">
                  <c:v>19</c:v>
                </c:pt>
                <c:pt idx="2">
                  <c:v>18</c:v>
                </c:pt>
                <c:pt idx="3">
                  <c:v>18</c:v>
                </c:pt>
                <c:pt idx="4">
                  <c:v>18</c:v>
                </c:pt>
                <c:pt idx="5">
                  <c:v>17</c:v>
                </c:pt>
                <c:pt idx="6">
                  <c:v>16</c:v>
                </c:pt>
                <c:pt idx="7">
                  <c:v>16</c:v>
                </c:pt>
                <c:pt idx="8">
                  <c:v>16</c:v>
                </c:pt>
                <c:pt idx="9">
                  <c:v>14</c:v>
                </c:pt>
                <c:pt idx="10">
                  <c:v>14</c:v>
                </c:pt>
                <c:pt idx="11">
                  <c:v>14</c:v>
                </c:pt>
                <c:pt idx="12">
                  <c:v>14</c:v>
                </c:pt>
                <c:pt idx="13">
                  <c:v>10</c:v>
                </c:pt>
              </c:numCache>
            </c:numRef>
          </c:val>
          <c:extLst>
            <c:ext xmlns:c16="http://schemas.microsoft.com/office/drawing/2014/chart" uri="{C3380CC4-5D6E-409C-BE32-E72D297353CC}">
              <c16:uniqueId val="{00000002-3869-4E96-8D64-4B682F03BFF8}"/>
            </c:ext>
          </c:extLst>
        </c:ser>
        <c:dLbls>
          <c:dLblPos val="outEnd"/>
          <c:showLegendKey val="0"/>
          <c:showVal val="1"/>
          <c:showCatName val="0"/>
          <c:showSerName val="0"/>
          <c:showPercent val="0"/>
          <c:showBubbleSize val="0"/>
        </c:dLbls>
        <c:gapWidth val="219"/>
        <c:overlap val="-27"/>
        <c:axId val="1643119903"/>
        <c:axId val="1643116543"/>
        <c:extLst>
          <c:ext xmlns:c15="http://schemas.microsoft.com/office/drawing/2012/chart" uri="{02D57815-91ED-43cb-92C2-25804820EDAC}">
            <c15:filteredBarSeries>
              <c15:ser>
                <c:idx val="0"/>
                <c:order val="0"/>
                <c:tx>
                  <c:strRef>
                    <c:extLst>
                      <c:ext uri="{02D57815-91ED-43cb-92C2-25804820EDAC}">
                        <c15:formulaRef>
                          <c15:sqref>TASK_2.1!$B$3</c15:sqref>
                        </c15:formulaRef>
                      </c:ext>
                    </c:extLst>
                    <c:strCache>
                      <c:ptCount val="1"/>
                      <c:pt idx="0">
                        <c:v>COUNT OF STATUS - Complete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TASK_2.1!$A$4:$A$18</c15:sqref>
                        </c15:fullRef>
                        <c15:formulaRef>
                          <c15:sqref>TASK_2.1!$A$4:$A$17</c15:sqref>
                        </c15:formulaRef>
                      </c:ext>
                    </c:extLst>
                    <c:strCache>
                      <c:ptCount val="14"/>
                      <c:pt idx="0">
                        <c:v>Looking For Career Guidance (NPS)</c:v>
                      </c:pt>
                      <c:pt idx="1">
                        <c:v>Applied for jobs but no satisfactory outcome (NPS)</c:v>
                      </c:pt>
                      <c:pt idx="2">
                        <c:v>Projects &amp; Assignment Related Concern (NPS)</c:v>
                      </c:pt>
                      <c:pt idx="3">
                        <c:v>Time Management Related Concerns (NPS)</c:v>
                      </c:pt>
                      <c:pt idx="4">
                        <c:v>False Promise By Sales Team (NPS)</c:v>
                      </c:pt>
                      <c:pt idx="5">
                        <c:v>Mentor Support Related Concerns (NPS)</c:v>
                      </c:pt>
                      <c:pt idx="6">
                        <c:v>Unhappy With The Class Timings (NPS)</c:v>
                      </c:pt>
                      <c:pt idx="7">
                        <c:v>TA Support Related Concerns (NPS)</c:v>
                      </c:pt>
                      <c:pt idx="8">
                        <c:v>Frequent Resume Rejection (NPS)</c:v>
                      </c:pt>
                      <c:pt idx="9">
                        <c:v>Instructor Related Feedback (NPS)</c:v>
                      </c:pt>
                      <c:pt idx="10">
                        <c:v>Lecture Notes Related (NPS)</c:v>
                      </c:pt>
                      <c:pt idx="11">
                        <c:v>Poor Class video quality (NPS)</c:v>
                      </c:pt>
                      <c:pt idx="12">
                        <c:v>Not eligible for placements (NPS)</c:v>
                      </c:pt>
                      <c:pt idx="13">
                        <c:v>Unhappy With Course Curriculum (NPS)</c:v>
                      </c:pt>
                    </c:strCache>
                  </c:strRef>
                </c:cat>
                <c:val>
                  <c:numRef>
                    <c:extLst>
                      <c:ext uri="{02D57815-91ED-43cb-92C2-25804820EDAC}">
                        <c15:fullRef>
                          <c15:sqref>TASK_2.1!$B$4:$B$18</c15:sqref>
                        </c15:fullRef>
                        <c15:formulaRef>
                          <c15:sqref>TASK_2.1!$B$4:$B$17</c15:sqref>
                        </c15:formulaRef>
                      </c:ext>
                    </c:extLst>
                    <c:numCache>
                      <c:formatCode>General</c:formatCode>
                      <c:ptCount val="14"/>
                      <c:pt idx="0">
                        <c:v>14</c:v>
                      </c:pt>
                      <c:pt idx="1">
                        <c:v>14</c:v>
                      </c:pt>
                      <c:pt idx="2">
                        <c:v>9</c:v>
                      </c:pt>
                      <c:pt idx="3">
                        <c:v>13</c:v>
                      </c:pt>
                      <c:pt idx="4">
                        <c:v>16</c:v>
                      </c:pt>
                      <c:pt idx="5">
                        <c:v>14</c:v>
                      </c:pt>
                      <c:pt idx="6">
                        <c:v>11</c:v>
                      </c:pt>
                      <c:pt idx="7">
                        <c:v>12</c:v>
                      </c:pt>
                      <c:pt idx="8">
                        <c:v>11</c:v>
                      </c:pt>
                      <c:pt idx="9">
                        <c:v>9</c:v>
                      </c:pt>
                      <c:pt idx="10">
                        <c:v>12</c:v>
                      </c:pt>
                      <c:pt idx="11">
                        <c:v>12</c:v>
                      </c:pt>
                      <c:pt idx="12">
                        <c:v>9</c:v>
                      </c:pt>
                      <c:pt idx="13">
                        <c:v>10</c:v>
                      </c:pt>
                    </c:numCache>
                  </c:numRef>
                </c:val>
                <c:extLst>
                  <c:ext xmlns:c16="http://schemas.microsoft.com/office/drawing/2014/chart" uri="{C3380CC4-5D6E-409C-BE32-E72D297353CC}">
                    <c16:uniqueId val="{00000000-3869-4E96-8D64-4B682F03BFF8}"/>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TASK_2.1!$C$3</c15:sqref>
                        </c15:formulaRef>
                      </c:ext>
                    </c:extLst>
                    <c:strCache>
                      <c:ptCount val="1"/>
                      <c:pt idx="0">
                        <c:v>COUNT OF STATUS - 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TASK_2.1!$A$4:$A$18</c15:sqref>
                        </c15:fullRef>
                        <c15:formulaRef>
                          <c15:sqref>TASK_2.1!$A$4:$A$17</c15:sqref>
                        </c15:formulaRef>
                      </c:ext>
                    </c:extLst>
                    <c:strCache>
                      <c:ptCount val="14"/>
                      <c:pt idx="0">
                        <c:v>Looking For Career Guidance (NPS)</c:v>
                      </c:pt>
                      <c:pt idx="1">
                        <c:v>Applied for jobs but no satisfactory outcome (NPS)</c:v>
                      </c:pt>
                      <c:pt idx="2">
                        <c:v>Projects &amp; Assignment Related Concern (NPS)</c:v>
                      </c:pt>
                      <c:pt idx="3">
                        <c:v>Time Management Related Concerns (NPS)</c:v>
                      </c:pt>
                      <c:pt idx="4">
                        <c:v>False Promise By Sales Team (NPS)</c:v>
                      </c:pt>
                      <c:pt idx="5">
                        <c:v>Mentor Support Related Concerns (NPS)</c:v>
                      </c:pt>
                      <c:pt idx="6">
                        <c:v>Unhappy With The Class Timings (NPS)</c:v>
                      </c:pt>
                      <c:pt idx="7">
                        <c:v>TA Support Related Concerns (NPS)</c:v>
                      </c:pt>
                      <c:pt idx="8">
                        <c:v>Frequent Resume Rejection (NPS)</c:v>
                      </c:pt>
                      <c:pt idx="9">
                        <c:v>Instructor Related Feedback (NPS)</c:v>
                      </c:pt>
                      <c:pt idx="10">
                        <c:v>Lecture Notes Related (NPS)</c:v>
                      </c:pt>
                      <c:pt idx="11">
                        <c:v>Poor Class video quality (NPS)</c:v>
                      </c:pt>
                      <c:pt idx="12">
                        <c:v>Not eligible for placements (NPS)</c:v>
                      </c:pt>
                      <c:pt idx="13">
                        <c:v>Unhappy With Course Curriculum (NPS)</c:v>
                      </c:pt>
                    </c:strCache>
                  </c:strRef>
                </c:cat>
                <c:val>
                  <c:numRef>
                    <c:extLst>
                      <c:ext xmlns:c15="http://schemas.microsoft.com/office/drawing/2012/chart" uri="{02D57815-91ED-43cb-92C2-25804820EDAC}">
                        <c15:fullRef>
                          <c15:sqref>TASK_2.1!$C$4:$C$18</c15:sqref>
                        </c15:fullRef>
                        <c15:formulaRef>
                          <c15:sqref>TASK_2.1!$C$4:$C$17</c15:sqref>
                        </c15:formulaRef>
                      </c:ext>
                    </c:extLst>
                    <c:numCache>
                      <c:formatCode>General</c:formatCode>
                      <c:ptCount val="14"/>
                      <c:pt idx="0">
                        <c:v>7</c:v>
                      </c:pt>
                      <c:pt idx="1">
                        <c:v>5</c:v>
                      </c:pt>
                      <c:pt idx="2">
                        <c:v>9</c:v>
                      </c:pt>
                      <c:pt idx="3">
                        <c:v>5</c:v>
                      </c:pt>
                      <c:pt idx="4">
                        <c:v>2</c:v>
                      </c:pt>
                      <c:pt idx="5">
                        <c:v>3</c:v>
                      </c:pt>
                      <c:pt idx="6">
                        <c:v>5</c:v>
                      </c:pt>
                      <c:pt idx="7">
                        <c:v>4</c:v>
                      </c:pt>
                      <c:pt idx="8">
                        <c:v>5</c:v>
                      </c:pt>
                      <c:pt idx="9">
                        <c:v>5</c:v>
                      </c:pt>
                      <c:pt idx="10">
                        <c:v>2</c:v>
                      </c:pt>
                      <c:pt idx="11">
                        <c:v>2</c:v>
                      </c:pt>
                      <c:pt idx="12">
                        <c:v>5</c:v>
                      </c:pt>
                    </c:numCache>
                  </c:numRef>
                </c:val>
                <c:extLst xmlns:c15="http://schemas.microsoft.com/office/drawing/2012/chart">
                  <c:ext xmlns:c16="http://schemas.microsoft.com/office/drawing/2014/chart" uri="{C3380CC4-5D6E-409C-BE32-E72D297353CC}">
                    <c16:uniqueId val="{00000001-3869-4E96-8D64-4B682F03BFF8}"/>
                  </c:ext>
                </c:extLst>
              </c15:ser>
            </c15:filteredBarSeries>
          </c:ext>
        </c:extLst>
      </c:barChart>
      <c:catAx>
        <c:axId val="1643119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ISSUE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116543"/>
        <c:crosses val="autoZero"/>
        <c:auto val="1"/>
        <c:lblAlgn val="ctr"/>
        <c:lblOffset val="100"/>
        <c:noMultiLvlLbl val="0"/>
      </c:catAx>
      <c:valAx>
        <c:axId val="16431165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TICKET</a:t>
                </a:r>
                <a:r>
                  <a:rPr lang="en-IN" b="1" baseline="0"/>
                  <a:t> COUNT</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119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SHARE COUNT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48381452318461"/>
          <c:y val="0.1212037037037037"/>
          <c:w val="0.84396062992125986"/>
          <c:h val="0.63581765820939062"/>
        </c:manualLayout>
      </c:layout>
      <c:barChart>
        <c:barDir val="col"/>
        <c:grouping val="clustered"/>
        <c:varyColors val="0"/>
        <c:ser>
          <c:idx val="2"/>
          <c:order val="2"/>
          <c:tx>
            <c:strRef>
              <c:f>TASK_2.2!$K$4</c:f>
              <c:strCache>
                <c:ptCount val="1"/>
                <c:pt idx="0">
                  <c:v>Grand 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3"/>
                </a:solidFill>
                <a:prstDash val="sysDot"/>
              </a:ln>
              <a:effectLst/>
            </c:spPr>
            <c:trendlineType val="movingAvg"/>
            <c:period val="2"/>
            <c:dispRSqr val="0"/>
            <c:dispEq val="0"/>
          </c:trendline>
          <c:cat>
            <c:numRef>
              <c:f>TASK_2.2!$H$5:$H$13</c:f>
              <c:numCache>
                <c:formatCode>General</c:formatCode>
                <c:ptCount val="9"/>
                <c:pt idx="0">
                  <c:v>31</c:v>
                </c:pt>
                <c:pt idx="1">
                  <c:v>32</c:v>
                </c:pt>
                <c:pt idx="2">
                  <c:v>33</c:v>
                </c:pt>
                <c:pt idx="3">
                  <c:v>34</c:v>
                </c:pt>
                <c:pt idx="4">
                  <c:v>35</c:v>
                </c:pt>
                <c:pt idx="5">
                  <c:v>36</c:v>
                </c:pt>
                <c:pt idx="6">
                  <c:v>37</c:v>
                </c:pt>
                <c:pt idx="7">
                  <c:v>38</c:v>
                </c:pt>
                <c:pt idx="8">
                  <c:v>39</c:v>
                </c:pt>
              </c:numCache>
            </c:numRef>
          </c:cat>
          <c:val>
            <c:numRef>
              <c:f>TASK_2.2!$K$5:$K$13</c:f>
              <c:numCache>
                <c:formatCode>General</c:formatCode>
                <c:ptCount val="9"/>
                <c:pt idx="0">
                  <c:v>9</c:v>
                </c:pt>
                <c:pt idx="1">
                  <c:v>34</c:v>
                </c:pt>
                <c:pt idx="2">
                  <c:v>25</c:v>
                </c:pt>
                <c:pt idx="3">
                  <c:v>33</c:v>
                </c:pt>
                <c:pt idx="4">
                  <c:v>29</c:v>
                </c:pt>
                <c:pt idx="5">
                  <c:v>26</c:v>
                </c:pt>
                <c:pt idx="6">
                  <c:v>28</c:v>
                </c:pt>
                <c:pt idx="7">
                  <c:v>35</c:v>
                </c:pt>
                <c:pt idx="8">
                  <c:v>6</c:v>
                </c:pt>
              </c:numCache>
            </c:numRef>
          </c:val>
          <c:extLst>
            <c:ext xmlns:c16="http://schemas.microsoft.com/office/drawing/2014/chart" uri="{C3380CC4-5D6E-409C-BE32-E72D297353CC}">
              <c16:uniqueId val="{00000002-F6BE-4604-9F19-9B02ABA51E73}"/>
            </c:ext>
          </c:extLst>
        </c:ser>
        <c:dLbls>
          <c:dLblPos val="outEnd"/>
          <c:showLegendKey val="0"/>
          <c:showVal val="1"/>
          <c:showCatName val="0"/>
          <c:showSerName val="0"/>
          <c:showPercent val="0"/>
          <c:showBubbleSize val="0"/>
        </c:dLbls>
        <c:gapWidth val="219"/>
        <c:overlap val="-27"/>
        <c:axId val="1363923007"/>
        <c:axId val="1363922047"/>
        <c:extLst>
          <c:ext xmlns:c15="http://schemas.microsoft.com/office/drawing/2012/chart" uri="{02D57815-91ED-43cb-92C2-25804820EDAC}">
            <c15:filteredBarSeries>
              <c15:ser>
                <c:idx val="0"/>
                <c:order val="0"/>
                <c:tx>
                  <c:strRef>
                    <c:extLst>
                      <c:ext uri="{02D57815-91ED-43cb-92C2-25804820EDAC}">
                        <c15:formulaRef>
                          <c15:sqref>TASK_2.2!$I$4</c15:sqref>
                        </c15:formulaRef>
                      </c:ext>
                    </c:extLst>
                    <c:strCache>
                      <c:ptCount val="1"/>
                      <c:pt idx="0">
                        <c:v>Complete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TASK_2.2!$H$5:$H$13</c15:sqref>
                        </c15:formulaRef>
                      </c:ext>
                    </c:extLst>
                    <c:numCache>
                      <c:formatCode>General</c:formatCode>
                      <c:ptCount val="9"/>
                      <c:pt idx="0">
                        <c:v>31</c:v>
                      </c:pt>
                      <c:pt idx="1">
                        <c:v>32</c:v>
                      </c:pt>
                      <c:pt idx="2">
                        <c:v>33</c:v>
                      </c:pt>
                      <c:pt idx="3">
                        <c:v>34</c:v>
                      </c:pt>
                      <c:pt idx="4">
                        <c:v>35</c:v>
                      </c:pt>
                      <c:pt idx="5">
                        <c:v>36</c:v>
                      </c:pt>
                      <c:pt idx="6">
                        <c:v>37</c:v>
                      </c:pt>
                      <c:pt idx="7">
                        <c:v>38</c:v>
                      </c:pt>
                      <c:pt idx="8">
                        <c:v>39</c:v>
                      </c:pt>
                    </c:numCache>
                  </c:numRef>
                </c:cat>
                <c:val>
                  <c:numRef>
                    <c:extLst>
                      <c:ext uri="{02D57815-91ED-43cb-92C2-25804820EDAC}">
                        <c15:formulaRef>
                          <c15:sqref>TASK_2.2!$I$5:$I$13</c15:sqref>
                        </c15:formulaRef>
                      </c:ext>
                    </c:extLst>
                    <c:numCache>
                      <c:formatCode>General</c:formatCode>
                      <c:ptCount val="9"/>
                      <c:pt idx="0">
                        <c:v>6</c:v>
                      </c:pt>
                      <c:pt idx="1">
                        <c:v>25</c:v>
                      </c:pt>
                      <c:pt idx="2">
                        <c:v>18</c:v>
                      </c:pt>
                      <c:pt idx="3">
                        <c:v>23</c:v>
                      </c:pt>
                      <c:pt idx="4">
                        <c:v>24</c:v>
                      </c:pt>
                      <c:pt idx="5">
                        <c:v>22</c:v>
                      </c:pt>
                      <c:pt idx="6">
                        <c:v>21</c:v>
                      </c:pt>
                      <c:pt idx="7">
                        <c:v>23</c:v>
                      </c:pt>
                      <c:pt idx="8">
                        <c:v>4</c:v>
                      </c:pt>
                    </c:numCache>
                  </c:numRef>
                </c:val>
                <c:extLst>
                  <c:ext xmlns:c16="http://schemas.microsoft.com/office/drawing/2014/chart" uri="{C3380CC4-5D6E-409C-BE32-E72D297353CC}">
                    <c16:uniqueId val="{00000000-F6BE-4604-9F19-9B02ABA51E7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TASK_2.2!$J$4</c15:sqref>
                        </c15:formulaRef>
                      </c:ext>
                    </c:extLst>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TASK_2.2!$H$5:$H$13</c15:sqref>
                        </c15:formulaRef>
                      </c:ext>
                    </c:extLst>
                    <c:numCache>
                      <c:formatCode>General</c:formatCode>
                      <c:ptCount val="9"/>
                      <c:pt idx="0">
                        <c:v>31</c:v>
                      </c:pt>
                      <c:pt idx="1">
                        <c:v>32</c:v>
                      </c:pt>
                      <c:pt idx="2">
                        <c:v>33</c:v>
                      </c:pt>
                      <c:pt idx="3">
                        <c:v>34</c:v>
                      </c:pt>
                      <c:pt idx="4">
                        <c:v>35</c:v>
                      </c:pt>
                      <c:pt idx="5">
                        <c:v>36</c:v>
                      </c:pt>
                      <c:pt idx="6">
                        <c:v>37</c:v>
                      </c:pt>
                      <c:pt idx="7">
                        <c:v>38</c:v>
                      </c:pt>
                      <c:pt idx="8">
                        <c:v>39</c:v>
                      </c:pt>
                    </c:numCache>
                  </c:numRef>
                </c:cat>
                <c:val>
                  <c:numRef>
                    <c:extLst xmlns:c15="http://schemas.microsoft.com/office/drawing/2012/chart">
                      <c:ext xmlns:c15="http://schemas.microsoft.com/office/drawing/2012/chart" uri="{02D57815-91ED-43cb-92C2-25804820EDAC}">
                        <c15:formulaRef>
                          <c15:sqref>TASK_2.2!$J$5:$J$13</c15:sqref>
                        </c15:formulaRef>
                      </c:ext>
                    </c:extLst>
                    <c:numCache>
                      <c:formatCode>General</c:formatCode>
                      <c:ptCount val="9"/>
                      <c:pt idx="0">
                        <c:v>3</c:v>
                      </c:pt>
                      <c:pt idx="1">
                        <c:v>9</c:v>
                      </c:pt>
                      <c:pt idx="2">
                        <c:v>7</c:v>
                      </c:pt>
                      <c:pt idx="3">
                        <c:v>10</c:v>
                      </c:pt>
                      <c:pt idx="4">
                        <c:v>5</c:v>
                      </c:pt>
                      <c:pt idx="5">
                        <c:v>4</c:v>
                      </c:pt>
                      <c:pt idx="6">
                        <c:v>7</c:v>
                      </c:pt>
                      <c:pt idx="7">
                        <c:v>12</c:v>
                      </c:pt>
                      <c:pt idx="8">
                        <c:v>2</c:v>
                      </c:pt>
                    </c:numCache>
                  </c:numRef>
                </c:val>
                <c:extLst xmlns:c15="http://schemas.microsoft.com/office/drawing/2012/chart">
                  <c:ext xmlns:c16="http://schemas.microsoft.com/office/drawing/2014/chart" uri="{C3380CC4-5D6E-409C-BE32-E72D297353CC}">
                    <c16:uniqueId val="{00000001-F6BE-4604-9F19-9B02ABA51E73}"/>
                  </c:ext>
                </c:extLst>
              </c15:ser>
            </c15:filteredBarSeries>
          </c:ext>
        </c:extLst>
      </c:barChart>
      <c:catAx>
        <c:axId val="1363923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WEEK NO </a:t>
                </a:r>
              </a:p>
              <a:p>
                <a:pPr>
                  <a:defRPr/>
                </a:pPr>
                <a:endParaRPr lang="en-IN"/>
              </a:p>
            </c:rich>
          </c:tx>
          <c:layout>
            <c:manualLayout>
              <c:xMode val="edge"/>
              <c:yMode val="edge"/>
              <c:x val="0.4571140773835855"/>
              <c:y val="0.8289013732833956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922047"/>
        <c:crosses val="autoZero"/>
        <c:auto val="1"/>
        <c:lblAlgn val="ctr"/>
        <c:lblOffset val="100"/>
        <c:noMultiLvlLbl val="0"/>
      </c:catAx>
      <c:valAx>
        <c:axId val="1363922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TICKET</a:t>
                </a:r>
                <a:r>
                  <a:rPr lang="en-IN" baseline="0"/>
                  <a:t> COUNT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9230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ISSUE TYPE DISTRIBUTION ACROSS PROGRAM </a:t>
            </a:r>
            <a:r>
              <a:rPr lang="en-IN"/>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TASK_2.2!$B$20</c:f>
              <c:strCache>
                <c:ptCount val="1"/>
                <c:pt idx="0">
                  <c:v>Academy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TASK_2.2!$A$21:$A$35</c15:sqref>
                  </c15:fullRef>
                </c:ext>
              </c:extLst>
              <c:f>TASK_2.2!$A$21:$A$34</c:f>
              <c:strCache>
                <c:ptCount val="14"/>
                <c:pt idx="0">
                  <c:v>Applied for jobs but no satisfactory outcome (NPS)</c:v>
                </c:pt>
                <c:pt idx="1">
                  <c:v>False Promise By Sales Team (NPS)</c:v>
                </c:pt>
                <c:pt idx="2">
                  <c:v>Frequent Resume Rejection (NPS)</c:v>
                </c:pt>
                <c:pt idx="3">
                  <c:v>Instructor Related Feedback (NPS)</c:v>
                </c:pt>
                <c:pt idx="4">
                  <c:v>Lecture Notes Related (NPS)</c:v>
                </c:pt>
                <c:pt idx="5">
                  <c:v>Looking For Career Guidance (NPS)</c:v>
                </c:pt>
                <c:pt idx="6">
                  <c:v>Mentor Support Related Concerns (NPS)</c:v>
                </c:pt>
                <c:pt idx="7">
                  <c:v>Not eligible for placements (NPS)</c:v>
                </c:pt>
                <c:pt idx="8">
                  <c:v>Poor Class video quality (NPS)</c:v>
                </c:pt>
                <c:pt idx="9">
                  <c:v>Projects &amp; Assignment Related Concern (NPS)</c:v>
                </c:pt>
                <c:pt idx="10">
                  <c:v>TA Support Related Concerns (NPS)</c:v>
                </c:pt>
                <c:pt idx="11">
                  <c:v>Time Management Related Concerns (NPS)</c:v>
                </c:pt>
                <c:pt idx="12">
                  <c:v>Unhappy With Course Curriculum (NPS)</c:v>
                </c:pt>
                <c:pt idx="13">
                  <c:v>Unhappy With The Class Timings (NPS)</c:v>
                </c:pt>
              </c:strCache>
            </c:strRef>
          </c:cat>
          <c:val>
            <c:numRef>
              <c:extLst>
                <c:ext xmlns:c15="http://schemas.microsoft.com/office/drawing/2012/chart" uri="{02D57815-91ED-43cb-92C2-25804820EDAC}">
                  <c15:fullRef>
                    <c15:sqref>TASK_2.2!$B$21:$B$35</c15:sqref>
                  </c15:fullRef>
                </c:ext>
              </c:extLst>
              <c:f>TASK_2.2!$B$21:$B$34</c:f>
              <c:numCache>
                <c:formatCode>General</c:formatCode>
                <c:ptCount val="14"/>
                <c:pt idx="0">
                  <c:v>6</c:v>
                </c:pt>
                <c:pt idx="1">
                  <c:v>4</c:v>
                </c:pt>
                <c:pt idx="2">
                  <c:v>4</c:v>
                </c:pt>
                <c:pt idx="3">
                  <c:v>3</c:v>
                </c:pt>
                <c:pt idx="4">
                  <c:v>3</c:v>
                </c:pt>
                <c:pt idx="5">
                  <c:v>6</c:v>
                </c:pt>
                <c:pt idx="6">
                  <c:v>3</c:v>
                </c:pt>
                <c:pt idx="7">
                  <c:v>3</c:v>
                </c:pt>
                <c:pt idx="8">
                  <c:v>6</c:v>
                </c:pt>
                <c:pt idx="9">
                  <c:v>6</c:v>
                </c:pt>
                <c:pt idx="10">
                  <c:v>7</c:v>
                </c:pt>
                <c:pt idx="11">
                  <c:v>5</c:v>
                </c:pt>
                <c:pt idx="12">
                  <c:v>3</c:v>
                </c:pt>
                <c:pt idx="13">
                  <c:v>4</c:v>
                </c:pt>
              </c:numCache>
            </c:numRef>
          </c:val>
          <c:extLst>
            <c:ext xmlns:c16="http://schemas.microsoft.com/office/drawing/2014/chart" uri="{C3380CC4-5D6E-409C-BE32-E72D297353CC}">
              <c16:uniqueId val="{00000000-F1A0-43B4-A92A-447E249C23D4}"/>
            </c:ext>
          </c:extLst>
        </c:ser>
        <c:ser>
          <c:idx val="1"/>
          <c:order val="1"/>
          <c:tx>
            <c:strRef>
              <c:f>TASK_2.2!$C$20</c:f>
              <c:strCache>
                <c:ptCount val="1"/>
                <c:pt idx="0">
                  <c:v>AIML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TASK_2.2!$A$21:$A$35</c15:sqref>
                  </c15:fullRef>
                </c:ext>
              </c:extLst>
              <c:f>TASK_2.2!$A$21:$A$34</c:f>
              <c:strCache>
                <c:ptCount val="14"/>
                <c:pt idx="0">
                  <c:v>Applied for jobs but no satisfactory outcome (NPS)</c:v>
                </c:pt>
                <c:pt idx="1">
                  <c:v>False Promise By Sales Team (NPS)</c:v>
                </c:pt>
                <c:pt idx="2">
                  <c:v>Frequent Resume Rejection (NPS)</c:v>
                </c:pt>
                <c:pt idx="3">
                  <c:v>Instructor Related Feedback (NPS)</c:v>
                </c:pt>
                <c:pt idx="4">
                  <c:v>Lecture Notes Related (NPS)</c:v>
                </c:pt>
                <c:pt idx="5">
                  <c:v>Looking For Career Guidance (NPS)</c:v>
                </c:pt>
                <c:pt idx="6">
                  <c:v>Mentor Support Related Concerns (NPS)</c:v>
                </c:pt>
                <c:pt idx="7">
                  <c:v>Not eligible for placements (NPS)</c:v>
                </c:pt>
                <c:pt idx="8">
                  <c:v>Poor Class video quality (NPS)</c:v>
                </c:pt>
                <c:pt idx="9">
                  <c:v>Projects &amp; Assignment Related Concern (NPS)</c:v>
                </c:pt>
                <c:pt idx="10">
                  <c:v>TA Support Related Concerns (NPS)</c:v>
                </c:pt>
                <c:pt idx="11">
                  <c:v>Time Management Related Concerns (NPS)</c:v>
                </c:pt>
                <c:pt idx="12">
                  <c:v>Unhappy With Course Curriculum (NPS)</c:v>
                </c:pt>
                <c:pt idx="13">
                  <c:v>Unhappy With The Class Timings (NPS)</c:v>
                </c:pt>
              </c:strCache>
            </c:strRef>
          </c:cat>
          <c:val>
            <c:numRef>
              <c:extLst>
                <c:ext xmlns:c15="http://schemas.microsoft.com/office/drawing/2012/chart" uri="{02D57815-91ED-43cb-92C2-25804820EDAC}">
                  <c15:fullRef>
                    <c15:sqref>TASK_2.2!$C$21:$C$35</c15:sqref>
                  </c15:fullRef>
                </c:ext>
              </c:extLst>
              <c:f>TASK_2.2!$C$21:$C$34</c:f>
              <c:numCache>
                <c:formatCode>General</c:formatCode>
                <c:ptCount val="14"/>
                <c:pt idx="0">
                  <c:v>8</c:v>
                </c:pt>
                <c:pt idx="1">
                  <c:v>5</c:v>
                </c:pt>
                <c:pt idx="2">
                  <c:v>1</c:v>
                </c:pt>
                <c:pt idx="3">
                  <c:v>3</c:v>
                </c:pt>
                <c:pt idx="4">
                  <c:v>3</c:v>
                </c:pt>
                <c:pt idx="5">
                  <c:v>5</c:v>
                </c:pt>
                <c:pt idx="6">
                  <c:v>2</c:v>
                </c:pt>
                <c:pt idx="7">
                  <c:v>4</c:v>
                </c:pt>
                <c:pt idx="8">
                  <c:v>1</c:v>
                </c:pt>
                <c:pt idx="9">
                  <c:v>1</c:v>
                </c:pt>
                <c:pt idx="10">
                  <c:v>4</c:v>
                </c:pt>
                <c:pt idx="11">
                  <c:v>5</c:v>
                </c:pt>
                <c:pt idx="12">
                  <c:v>3</c:v>
                </c:pt>
                <c:pt idx="13">
                  <c:v>2</c:v>
                </c:pt>
              </c:numCache>
            </c:numRef>
          </c:val>
          <c:extLst>
            <c:ext xmlns:c16="http://schemas.microsoft.com/office/drawing/2014/chart" uri="{C3380CC4-5D6E-409C-BE32-E72D297353CC}">
              <c16:uniqueId val="{00000001-F1A0-43B4-A92A-447E249C23D4}"/>
            </c:ext>
          </c:extLst>
        </c:ser>
        <c:ser>
          <c:idx val="2"/>
          <c:order val="2"/>
          <c:tx>
            <c:strRef>
              <c:f>TASK_2.2!$D$20</c:f>
              <c:strCache>
                <c:ptCount val="1"/>
                <c:pt idx="0">
                  <c:v>DevOps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TASK_2.2!$A$21:$A$35</c15:sqref>
                  </c15:fullRef>
                </c:ext>
              </c:extLst>
              <c:f>TASK_2.2!$A$21:$A$34</c:f>
              <c:strCache>
                <c:ptCount val="14"/>
                <c:pt idx="0">
                  <c:v>Applied for jobs but no satisfactory outcome (NPS)</c:v>
                </c:pt>
                <c:pt idx="1">
                  <c:v>False Promise By Sales Team (NPS)</c:v>
                </c:pt>
                <c:pt idx="2">
                  <c:v>Frequent Resume Rejection (NPS)</c:v>
                </c:pt>
                <c:pt idx="3">
                  <c:v>Instructor Related Feedback (NPS)</c:v>
                </c:pt>
                <c:pt idx="4">
                  <c:v>Lecture Notes Related (NPS)</c:v>
                </c:pt>
                <c:pt idx="5">
                  <c:v>Looking For Career Guidance (NPS)</c:v>
                </c:pt>
                <c:pt idx="6">
                  <c:v>Mentor Support Related Concerns (NPS)</c:v>
                </c:pt>
                <c:pt idx="7">
                  <c:v>Not eligible for placements (NPS)</c:v>
                </c:pt>
                <c:pt idx="8">
                  <c:v>Poor Class video quality (NPS)</c:v>
                </c:pt>
                <c:pt idx="9">
                  <c:v>Projects &amp; Assignment Related Concern (NPS)</c:v>
                </c:pt>
                <c:pt idx="10">
                  <c:v>TA Support Related Concerns (NPS)</c:v>
                </c:pt>
                <c:pt idx="11">
                  <c:v>Time Management Related Concerns (NPS)</c:v>
                </c:pt>
                <c:pt idx="12">
                  <c:v>Unhappy With Course Curriculum (NPS)</c:v>
                </c:pt>
                <c:pt idx="13">
                  <c:v>Unhappy With The Class Timings (NPS)</c:v>
                </c:pt>
              </c:strCache>
            </c:strRef>
          </c:cat>
          <c:val>
            <c:numRef>
              <c:extLst>
                <c:ext xmlns:c15="http://schemas.microsoft.com/office/drawing/2012/chart" uri="{02D57815-91ED-43cb-92C2-25804820EDAC}">
                  <c15:fullRef>
                    <c15:sqref>TASK_2.2!$D$21:$D$35</c15:sqref>
                  </c15:fullRef>
                </c:ext>
              </c:extLst>
              <c:f>TASK_2.2!$D$21:$D$34</c:f>
              <c:numCache>
                <c:formatCode>General</c:formatCode>
                <c:ptCount val="14"/>
                <c:pt idx="0">
                  <c:v>2</c:v>
                </c:pt>
                <c:pt idx="1">
                  <c:v>3</c:v>
                </c:pt>
                <c:pt idx="2">
                  <c:v>6</c:v>
                </c:pt>
                <c:pt idx="3">
                  <c:v>3</c:v>
                </c:pt>
                <c:pt idx="4">
                  <c:v>5</c:v>
                </c:pt>
                <c:pt idx="5">
                  <c:v>4</c:v>
                </c:pt>
                <c:pt idx="6">
                  <c:v>7</c:v>
                </c:pt>
                <c:pt idx="7">
                  <c:v>3</c:v>
                </c:pt>
                <c:pt idx="8">
                  <c:v>4</c:v>
                </c:pt>
                <c:pt idx="9">
                  <c:v>4</c:v>
                </c:pt>
                <c:pt idx="10">
                  <c:v>2</c:v>
                </c:pt>
                <c:pt idx="11">
                  <c:v>4</c:v>
                </c:pt>
                <c:pt idx="12">
                  <c:v>1</c:v>
                </c:pt>
                <c:pt idx="13">
                  <c:v>4</c:v>
                </c:pt>
              </c:numCache>
            </c:numRef>
          </c:val>
          <c:extLst>
            <c:ext xmlns:c16="http://schemas.microsoft.com/office/drawing/2014/chart" uri="{C3380CC4-5D6E-409C-BE32-E72D297353CC}">
              <c16:uniqueId val="{00000002-F1A0-43B4-A92A-447E249C23D4}"/>
            </c:ext>
          </c:extLst>
        </c:ser>
        <c:ser>
          <c:idx val="3"/>
          <c:order val="3"/>
          <c:tx>
            <c:strRef>
              <c:f>TASK_2.2!$E$20</c:f>
              <c:strCache>
                <c:ptCount val="1"/>
                <c:pt idx="0">
                  <c:v>DSML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TASK_2.2!$A$21:$A$35</c15:sqref>
                  </c15:fullRef>
                </c:ext>
              </c:extLst>
              <c:f>TASK_2.2!$A$21:$A$34</c:f>
              <c:strCache>
                <c:ptCount val="14"/>
                <c:pt idx="0">
                  <c:v>Applied for jobs but no satisfactory outcome (NPS)</c:v>
                </c:pt>
                <c:pt idx="1">
                  <c:v>False Promise By Sales Team (NPS)</c:v>
                </c:pt>
                <c:pt idx="2">
                  <c:v>Frequent Resume Rejection (NPS)</c:v>
                </c:pt>
                <c:pt idx="3">
                  <c:v>Instructor Related Feedback (NPS)</c:v>
                </c:pt>
                <c:pt idx="4">
                  <c:v>Lecture Notes Related (NPS)</c:v>
                </c:pt>
                <c:pt idx="5">
                  <c:v>Looking For Career Guidance (NPS)</c:v>
                </c:pt>
                <c:pt idx="6">
                  <c:v>Mentor Support Related Concerns (NPS)</c:v>
                </c:pt>
                <c:pt idx="7">
                  <c:v>Not eligible for placements (NPS)</c:v>
                </c:pt>
                <c:pt idx="8">
                  <c:v>Poor Class video quality (NPS)</c:v>
                </c:pt>
                <c:pt idx="9">
                  <c:v>Projects &amp; Assignment Related Concern (NPS)</c:v>
                </c:pt>
                <c:pt idx="10">
                  <c:v>TA Support Related Concerns (NPS)</c:v>
                </c:pt>
                <c:pt idx="11">
                  <c:v>Time Management Related Concerns (NPS)</c:v>
                </c:pt>
                <c:pt idx="12">
                  <c:v>Unhappy With Course Curriculum (NPS)</c:v>
                </c:pt>
                <c:pt idx="13">
                  <c:v>Unhappy With The Class Timings (NPS)</c:v>
                </c:pt>
              </c:strCache>
            </c:strRef>
          </c:cat>
          <c:val>
            <c:numRef>
              <c:extLst>
                <c:ext xmlns:c15="http://schemas.microsoft.com/office/drawing/2012/chart" uri="{02D57815-91ED-43cb-92C2-25804820EDAC}">
                  <c15:fullRef>
                    <c15:sqref>TASK_2.2!$E$21:$E$35</c15:sqref>
                  </c15:fullRef>
                </c:ext>
              </c:extLst>
              <c:f>TASK_2.2!$E$21:$E$34</c:f>
              <c:numCache>
                <c:formatCode>General</c:formatCode>
                <c:ptCount val="14"/>
                <c:pt idx="0">
                  <c:v>3</c:v>
                </c:pt>
                <c:pt idx="1">
                  <c:v>6</c:v>
                </c:pt>
                <c:pt idx="2">
                  <c:v>5</c:v>
                </c:pt>
                <c:pt idx="3">
                  <c:v>5</c:v>
                </c:pt>
                <c:pt idx="4">
                  <c:v>3</c:v>
                </c:pt>
                <c:pt idx="5">
                  <c:v>6</c:v>
                </c:pt>
                <c:pt idx="6">
                  <c:v>5</c:v>
                </c:pt>
                <c:pt idx="7">
                  <c:v>4</c:v>
                </c:pt>
                <c:pt idx="8">
                  <c:v>3</c:v>
                </c:pt>
                <c:pt idx="9">
                  <c:v>7</c:v>
                </c:pt>
                <c:pt idx="10">
                  <c:v>3</c:v>
                </c:pt>
                <c:pt idx="11">
                  <c:v>4</c:v>
                </c:pt>
                <c:pt idx="12">
                  <c:v>3</c:v>
                </c:pt>
                <c:pt idx="13">
                  <c:v>6</c:v>
                </c:pt>
              </c:numCache>
            </c:numRef>
          </c:val>
          <c:extLst>
            <c:ext xmlns:c16="http://schemas.microsoft.com/office/drawing/2014/chart" uri="{C3380CC4-5D6E-409C-BE32-E72D297353CC}">
              <c16:uniqueId val="{00000003-F1A0-43B4-A92A-447E249C23D4}"/>
            </c:ext>
          </c:extLst>
        </c:ser>
        <c:dLbls>
          <c:dLblPos val="outEnd"/>
          <c:showLegendKey val="0"/>
          <c:showVal val="1"/>
          <c:showCatName val="0"/>
          <c:showSerName val="0"/>
          <c:showPercent val="0"/>
          <c:showBubbleSize val="0"/>
        </c:dLbls>
        <c:gapWidth val="182"/>
        <c:axId val="1098435279"/>
        <c:axId val="1213284511"/>
      </c:barChart>
      <c:catAx>
        <c:axId val="1098435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ISSUE TYPE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284511"/>
        <c:crosses val="autoZero"/>
        <c:auto val="1"/>
        <c:lblAlgn val="ctr"/>
        <c:lblOffset val="100"/>
        <c:noMultiLvlLbl val="0"/>
      </c:catAx>
      <c:valAx>
        <c:axId val="12132845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TICKET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35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6"/>
          <c:tx>
            <c:strRef>
              <c:f>TASK_2.2!$H$42</c:f>
              <c:strCache>
                <c:ptCount val="1"/>
                <c:pt idx="0">
                  <c:v>Average of Days_In_Solved</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TASK_2.2!$A$43:$A$52</c:f>
              <c:strCache>
                <c:ptCount val="10"/>
                <c:pt idx="0">
                  <c:v>Jessica Kim</c:v>
                </c:pt>
                <c:pt idx="1">
                  <c:v>Mike Chen</c:v>
                </c:pt>
                <c:pt idx="2">
                  <c:v>Amit Patel</c:v>
                </c:pt>
                <c:pt idx="3">
                  <c:v>Lisa Rodriguez</c:v>
                </c:pt>
                <c:pt idx="4">
                  <c:v>Priya Sharma</c:v>
                </c:pt>
                <c:pt idx="5">
                  <c:v>Rohit Gupta</c:v>
                </c:pt>
                <c:pt idx="6">
                  <c:v>Carlos Martinez</c:v>
                </c:pt>
                <c:pt idx="7">
                  <c:v>David Wilson</c:v>
                </c:pt>
                <c:pt idx="8">
                  <c:v>Sneha Reddy</c:v>
                </c:pt>
                <c:pt idx="9">
                  <c:v>Sarah Johnson</c:v>
                </c:pt>
              </c:strCache>
            </c:strRef>
          </c:cat>
          <c:val>
            <c:numRef>
              <c:f>TASK_2.2!$H$43:$H$52</c:f>
              <c:numCache>
                <c:formatCode>0.0</c:formatCode>
                <c:ptCount val="10"/>
                <c:pt idx="0">
                  <c:v>6.5541935483870963</c:v>
                </c:pt>
                <c:pt idx="1">
                  <c:v>7.7472222222222218</c:v>
                </c:pt>
                <c:pt idx="2">
                  <c:v>5.7713333333333328</c:v>
                </c:pt>
                <c:pt idx="3">
                  <c:v>6.7217647058823538</c:v>
                </c:pt>
                <c:pt idx="4">
                  <c:v>4.8619999999999983</c:v>
                </c:pt>
                <c:pt idx="5">
                  <c:v>6.0371428571428565</c:v>
                </c:pt>
                <c:pt idx="6">
                  <c:v>6.7607692307692311</c:v>
                </c:pt>
                <c:pt idx="7">
                  <c:v>5.9107692307692314</c:v>
                </c:pt>
                <c:pt idx="8">
                  <c:v>8.8490909090909078</c:v>
                </c:pt>
                <c:pt idx="9">
                  <c:v>9.3318181818181802</c:v>
                </c:pt>
              </c:numCache>
            </c:numRef>
          </c:val>
          <c:extLst>
            <c:ext xmlns:c16="http://schemas.microsoft.com/office/drawing/2014/chart" uri="{C3380CC4-5D6E-409C-BE32-E72D297353CC}">
              <c16:uniqueId val="{00000006-982D-4BE7-AB73-4D5BA0DAE04B}"/>
            </c:ext>
          </c:extLst>
        </c:ser>
        <c:dLbls>
          <c:dLblPos val="outEnd"/>
          <c:showLegendKey val="0"/>
          <c:showVal val="1"/>
          <c:showCatName val="0"/>
          <c:showSerName val="0"/>
          <c:showPercent val="0"/>
          <c:showBubbleSize val="0"/>
        </c:dLbls>
        <c:gapWidth val="219"/>
        <c:overlap val="-27"/>
        <c:axId val="1443339775"/>
        <c:axId val="1443357535"/>
        <c:extLst>
          <c:ext xmlns:c15="http://schemas.microsoft.com/office/drawing/2012/chart" uri="{02D57815-91ED-43cb-92C2-25804820EDAC}">
            <c15:filteredBarSeries>
              <c15:ser>
                <c:idx val="0"/>
                <c:order val="0"/>
                <c:tx>
                  <c:strRef>
                    <c:extLst>
                      <c:ext uri="{02D57815-91ED-43cb-92C2-25804820EDAC}">
                        <c15:formulaRef>
                          <c15:sqref>TASK_2.2!$B$42</c15:sqref>
                        </c15:formulaRef>
                      </c:ext>
                    </c:extLst>
                    <c:strCache>
                      <c:ptCount val="1"/>
                      <c:pt idx="0">
                        <c:v>Complete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TASK_2.2!$A$43:$A$52</c15:sqref>
                        </c15:formulaRef>
                      </c:ext>
                    </c:extLst>
                    <c:strCache>
                      <c:ptCount val="10"/>
                      <c:pt idx="0">
                        <c:v>Jessica Kim</c:v>
                      </c:pt>
                      <c:pt idx="1">
                        <c:v>Mike Chen</c:v>
                      </c:pt>
                      <c:pt idx="2">
                        <c:v>Amit Patel</c:v>
                      </c:pt>
                      <c:pt idx="3">
                        <c:v>Lisa Rodriguez</c:v>
                      </c:pt>
                      <c:pt idx="4">
                        <c:v>Priya Sharma</c:v>
                      </c:pt>
                      <c:pt idx="5">
                        <c:v>Rohit Gupta</c:v>
                      </c:pt>
                      <c:pt idx="6">
                        <c:v>Carlos Martinez</c:v>
                      </c:pt>
                      <c:pt idx="7">
                        <c:v>David Wilson</c:v>
                      </c:pt>
                      <c:pt idx="8">
                        <c:v>Sneha Reddy</c:v>
                      </c:pt>
                      <c:pt idx="9">
                        <c:v>Sarah Johnson</c:v>
                      </c:pt>
                    </c:strCache>
                  </c:strRef>
                </c:cat>
                <c:val>
                  <c:numRef>
                    <c:extLst>
                      <c:ext uri="{02D57815-91ED-43cb-92C2-25804820EDAC}">
                        <c15:formulaRef>
                          <c15:sqref>TASK_2.2!$B$43:$B$52</c15:sqref>
                        </c15:formulaRef>
                      </c:ext>
                    </c:extLst>
                    <c:numCache>
                      <c:formatCode>General</c:formatCode>
                      <c:ptCount val="10"/>
                      <c:pt idx="0">
                        <c:v>32</c:v>
                      </c:pt>
                      <c:pt idx="1">
                        <c:v>18</c:v>
                      </c:pt>
                      <c:pt idx="2">
                        <c:v>18</c:v>
                      </c:pt>
                      <c:pt idx="3">
                        <c:v>17</c:v>
                      </c:pt>
                      <c:pt idx="4">
                        <c:v>16</c:v>
                      </c:pt>
                      <c:pt idx="5">
                        <c:v>15</c:v>
                      </c:pt>
                      <c:pt idx="6">
                        <c:v>14</c:v>
                      </c:pt>
                      <c:pt idx="7">
                        <c:v>13</c:v>
                      </c:pt>
                      <c:pt idx="8">
                        <c:v>12</c:v>
                      </c:pt>
                      <c:pt idx="9">
                        <c:v>11</c:v>
                      </c:pt>
                    </c:numCache>
                  </c:numRef>
                </c:val>
                <c:extLst>
                  <c:ext xmlns:c16="http://schemas.microsoft.com/office/drawing/2014/chart" uri="{C3380CC4-5D6E-409C-BE32-E72D297353CC}">
                    <c16:uniqueId val="{00000000-982D-4BE7-AB73-4D5BA0DAE04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TASK_2.2!$C$42</c15:sqref>
                        </c15:formulaRef>
                      </c:ext>
                    </c:extLst>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TASK_2.2!$A$43:$A$52</c15:sqref>
                        </c15:formulaRef>
                      </c:ext>
                    </c:extLst>
                    <c:strCache>
                      <c:ptCount val="10"/>
                      <c:pt idx="0">
                        <c:v>Jessica Kim</c:v>
                      </c:pt>
                      <c:pt idx="1">
                        <c:v>Mike Chen</c:v>
                      </c:pt>
                      <c:pt idx="2">
                        <c:v>Amit Patel</c:v>
                      </c:pt>
                      <c:pt idx="3">
                        <c:v>Lisa Rodriguez</c:v>
                      </c:pt>
                      <c:pt idx="4">
                        <c:v>Priya Sharma</c:v>
                      </c:pt>
                      <c:pt idx="5">
                        <c:v>Rohit Gupta</c:v>
                      </c:pt>
                      <c:pt idx="6">
                        <c:v>Carlos Martinez</c:v>
                      </c:pt>
                      <c:pt idx="7">
                        <c:v>David Wilson</c:v>
                      </c:pt>
                      <c:pt idx="8">
                        <c:v>Sneha Reddy</c:v>
                      </c:pt>
                      <c:pt idx="9">
                        <c:v>Sarah Johnson</c:v>
                      </c:pt>
                    </c:strCache>
                  </c:strRef>
                </c:cat>
                <c:val>
                  <c:numRef>
                    <c:extLst xmlns:c15="http://schemas.microsoft.com/office/drawing/2012/chart">
                      <c:ext xmlns:c15="http://schemas.microsoft.com/office/drawing/2012/chart" uri="{02D57815-91ED-43cb-92C2-25804820EDAC}">
                        <c15:formulaRef>
                          <c15:sqref>TASK_2.2!$C$43:$C$52</c15:sqref>
                        </c15:formulaRef>
                      </c:ext>
                    </c:extLst>
                    <c:numCache>
                      <c:formatCode>General</c:formatCode>
                      <c:ptCount val="10"/>
                      <c:pt idx="0">
                        <c:v>6</c:v>
                      </c:pt>
                      <c:pt idx="1">
                        <c:v>4</c:v>
                      </c:pt>
                      <c:pt idx="2">
                        <c:v>5</c:v>
                      </c:pt>
                      <c:pt idx="3">
                        <c:v>8</c:v>
                      </c:pt>
                      <c:pt idx="4">
                        <c:v>5</c:v>
                      </c:pt>
                      <c:pt idx="5">
                        <c:v>2</c:v>
                      </c:pt>
                      <c:pt idx="6">
                        <c:v>8</c:v>
                      </c:pt>
                      <c:pt idx="7">
                        <c:v>5</c:v>
                      </c:pt>
                      <c:pt idx="8">
                        <c:v>7</c:v>
                      </c:pt>
                      <c:pt idx="9">
                        <c:v>4</c:v>
                      </c:pt>
                    </c:numCache>
                  </c:numRef>
                </c:val>
                <c:extLst xmlns:c15="http://schemas.microsoft.com/office/drawing/2012/chart">
                  <c:ext xmlns:c16="http://schemas.microsoft.com/office/drawing/2014/chart" uri="{C3380CC4-5D6E-409C-BE32-E72D297353CC}">
                    <c16:uniqueId val="{00000001-982D-4BE7-AB73-4D5BA0DAE04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TASK_2.2!$D$42</c15:sqref>
                        </c15:formulaRef>
                      </c:ext>
                    </c:extLst>
                    <c:strCache>
                      <c:ptCount val="1"/>
                      <c:pt idx="0">
                        <c:v>Count of Ticket No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TASK_2.2!$A$43:$A$52</c15:sqref>
                        </c15:formulaRef>
                      </c:ext>
                    </c:extLst>
                    <c:strCache>
                      <c:ptCount val="10"/>
                      <c:pt idx="0">
                        <c:v>Jessica Kim</c:v>
                      </c:pt>
                      <c:pt idx="1">
                        <c:v>Mike Chen</c:v>
                      </c:pt>
                      <c:pt idx="2">
                        <c:v>Amit Patel</c:v>
                      </c:pt>
                      <c:pt idx="3">
                        <c:v>Lisa Rodriguez</c:v>
                      </c:pt>
                      <c:pt idx="4">
                        <c:v>Priya Sharma</c:v>
                      </c:pt>
                      <c:pt idx="5">
                        <c:v>Rohit Gupta</c:v>
                      </c:pt>
                      <c:pt idx="6">
                        <c:v>Carlos Martinez</c:v>
                      </c:pt>
                      <c:pt idx="7">
                        <c:v>David Wilson</c:v>
                      </c:pt>
                      <c:pt idx="8">
                        <c:v>Sneha Reddy</c:v>
                      </c:pt>
                      <c:pt idx="9">
                        <c:v>Sarah Johnson</c:v>
                      </c:pt>
                    </c:strCache>
                  </c:strRef>
                </c:cat>
                <c:val>
                  <c:numRef>
                    <c:extLst xmlns:c15="http://schemas.microsoft.com/office/drawing/2012/chart">
                      <c:ext xmlns:c15="http://schemas.microsoft.com/office/drawing/2012/chart" uri="{02D57815-91ED-43cb-92C2-25804820EDAC}">
                        <c15:formulaRef>
                          <c15:sqref>TASK_2.2!$D$43:$D$52</c15:sqref>
                        </c15:formulaRef>
                      </c:ext>
                    </c:extLst>
                    <c:numCache>
                      <c:formatCode>General</c:formatCode>
                      <c:ptCount val="10"/>
                      <c:pt idx="0">
                        <c:v>38</c:v>
                      </c:pt>
                      <c:pt idx="1">
                        <c:v>22</c:v>
                      </c:pt>
                      <c:pt idx="2">
                        <c:v>23</c:v>
                      </c:pt>
                      <c:pt idx="3">
                        <c:v>25</c:v>
                      </c:pt>
                      <c:pt idx="4">
                        <c:v>21</c:v>
                      </c:pt>
                      <c:pt idx="5">
                        <c:v>17</c:v>
                      </c:pt>
                      <c:pt idx="6">
                        <c:v>22</c:v>
                      </c:pt>
                      <c:pt idx="7">
                        <c:v>18</c:v>
                      </c:pt>
                      <c:pt idx="8">
                        <c:v>19</c:v>
                      </c:pt>
                      <c:pt idx="9">
                        <c:v>15</c:v>
                      </c:pt>
                    </c:numCache>
                  </c:numRef>
                </c:val>
                <c:extLst xmlns:c15="http://schemas.microsoft.com/office/drawing/2012/chart">
                  <c:ext xmlns:c16="http://schemas.microsoft.com/office/drawing/2014/chart" uri="{C3380CC4-5D6E-409C-BE32-E72D297353CC}">
                    <c16:uniqueId val="{00000002-982D-4BE7-AB73-4D5BA0DAE04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TASK_2.2!$E$42</c15:sqref>
                        </c15:formulaRef>
                      </c:ext>
                    </c:extLst>
                    <c:strCache>
                      <c:ptCount val="1"/>
                      <c:pt idx="0">
                        <c:v>SOLVED_PER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TASK_2.2!$A$43:$A$52</c15:sqref>
                        </c15:formulaRef>
                      </c:ext>
                    </c:extLst>
                    <c:strCache>
                      <c:ptCount val="10"/>
                      <c:pt idx="0">
                        <c:v>Jessica Kim</c:v>
                      </c:pt>
                      <c:pt idx="1">
                        <c:v>Mike Chen</c:v>
                      </c:pt>
                      <c:pt idx="2">
                        <c:v>Amit Patel</c:v>
                      </c:pt>
                      <c:pt idx="3">
                        <c:v>Lisa Rodriguez</c:v>
                      </c:pt>
                      <c:pt idx="4">
                        <c:v>Priya Sharma</c:v>
                      </c:pt>
                      <c:pt idx="5">
                        <c:v>Rohit Gupta</c:v>
                      </c:pt>
                      <c:pt idx="6">
                        <c:v>Carlos Martinez</c:v>
                      </c:pt>
                      <c:pt idx="7">
                        <c:v>David Wilson</c:v>
                      </c:pt>
                      <c:pt idx="8">
                        <c:v>Sneha Reddy</c:v>
                      </c:pt>
                      <c:pt idx="9">
                        <c:v>Sarah Johnson</c:v>
                      </c:pt>
                    </c:strCache>
                  </c:strRef>
                </c:cat>
                <c:val>
                  <c:numRef>
                    <c:extLst xmlns:c15="http://schemas.microsoft.com/office/drawing/2012/chart">
                      <c:ext xmlns:c15="http://schemas.microsoft.com/office/drawing/2012/chart" uri="{02D57815-91ED-43cb-92C2-25804820EDAC}">
                        <c15:formulaRef>
                          <c15:sqref>TASK_2.2!$E$43:$E$52</c15:sqref>
                        </c15:formulaRef>
                      </c:ext>
                    </c:extLst>
                    <c:numCache>
                      <c:formatCode>0%</c:formatCode>
                      <c:ptCount val="10"/>
                      <c:pt idx="0">
                        <c:v>0.84210526315789469</c:v>
                      </c:pt>
                      <c:pt idx="1">
                        <c:v>0.81818181818181823</c:v>
                      </c:pt>
                      <c:pt idx="2">
                        <c:v>0.78260869565217395</c:v>
                      </c:pt>
                      <c:pt idx="3">
                        <c:v>0.68</c:v>
                      </c:pt>
                      <c:pt idx="4">
                        <c:v>0.76190476190476186</c:v>
                      </c:pt>
                      <c:pt idx="5">
                        <c:v>0.88235294117647056</c:v>
                      </c:pt>
                      <c:pt idx="6">
                        <c:v>0.63636363636363635</c:v>
                      </c:pt>
                      <c:pt idx="7">
                        <c:v>0.72222222222222221</c:v>
                      </c:pt>
                      <c:pt idx="8">
                        <c:v>0.63157894736842102</c:v>
                      </c:pt>
                      <c:pt idx="9">
                        <c:v>0.73333333333333328</c:v>
                      </c:pt>
                    </c:numCache>
                  </c:numRef>
                </c:val>
                <c:extLst xmlns:c15="http://schemas.microsoft.com/office/drawing/2012/chart">
                  <c:ext xmlns:c16="http://schemas.microsoft.com/office/drawing/2014/chart" uri="{C3380CC4-5D6E-409C-BE32-E72D297353CC}">
                    <c16:uniqueId val="{00000003-982D-4BE7-AB73-4D5BA0DAE04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TASK_2.2!$F$42</c15:sqref>
                        </c15:formulaRef>
                      </c:ext>
                    </c:extLst>
                    <c:strCache>
                      <c:ptCount val="1"/>
                      <c:pt idx="0">
                        <c:v>PENDING_PER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TASK_2.2!$A$43:$A$52</c15:sqref>
                        </c15:formulaRef>
                      </c:ext>
                    </c:extLst>
                    <c:strCache>
                      <c:ptCount val="10"/>
                      <c:pt idx="0">
                        <c:v>Jessica Kim</c:v>
                      </c:pt>
                      <c:pt idx="1">
                        <c:v>Mike Chen</c:v>
                      </c:pt>
                      <c:pt idx="2">
                        <c:v>Amit Patel</c:v>
                      </c:pt>
                      <c:pt idx="3">
                        <c:v>Lisa Rodriguez</c:v>
                      </c:pt>
                      <c:pt idx="4">
                        <c:v>Priya Sharma</c:v>
                      </c:pt>
                      <c:pt idx="5">
                        <c:v>Rohit Gupta</c:v>
                      </c:pt>
                      <c:pt idx="6">
                        <c:v>Carlos Martinez</c:v>
                      </c:pt>
                      <c:pt idx="7">
                        <c:v>David Wilson</c:v>
                      </c:pt>
                      <c:pt idx="8">
                        <c:v>Sneha Reddy</c:v>
                      </c:pt>
                      <c:pt idx="9">
                        <c:v>Sarah Johnson</c:v>
                      </c:pt>
                    </c:strCache>
                  </c:strRef>
                </c:cat>
                <c:val>
                  <c:numRef>
                    <c:extLst xmlns:c15="http://schemas.microsoft.com/office/drawing/2012/chart">
                      <c:ext xmlns:c15="http://schemas.microsoft.com/office/drawing/2012/chart" uri="{02D57815-91ED-43cb-92C2-25804820EDAC}">
                        <c15:formulaRef>
                          <c15:sqref>TASK_2.2!$F$43:$F$52</c15:sqref>
                        </c15:formulaRef>
                      </c:ext>
                    </c:extLst>
                    <c:numCache>
                      <c:formatCode>0%</c:formatCode>
                      <c:ptCount val="10"/>
                      <c:pt idx="0">
                        <c:v>0.15789473684210525</c:v>
                      </c:pt>
                      <c:pt idx="1">
                        <c:v>0.18181818181818182</c:v>
                      </c:pt>
                      <c:pt idx="2">
                        <c:v>0.21739130434782608</c:v>
                      </c:pt>
                      <c:pt idx="3">
                        <c:v>0.32</c:v>
                      </c:pt>
                      <c:pt idx="4">
                        <c:v>0.23809523809523808</c:v>
                      </c:pt>
                      <c:pt idx="5">
                        <c:v>0.11764705882352941</c:v>
                      </c:pt>
                      <c:pt idx="6">
                        <c:v>0.36363636363636365</c:v>
                      </c:pt>
                      <c:pt idx="7">
                        <c:v>0.27777777777777779</c:v>
                      </c:pt>
                      <c:pt idx="8">
                        <c:v>0.36842105263157893</c:v>
                      </c:pt>
                      <c:pt idx="9">
                        <c:v>0.26666666666666666</c:v>
                      </c:pt>
                    </c:numCache>
                  </c:numRef>
                </c:val>
                <c:extLst xmlns:c15="http://schemas.microsoft.com/office/drawing/2012/chart">
                  <c:ext xmlns:c16="http://schemas.microsoft.com/office/drawing/2014/chart" uri="{C3380CC4-5D6E-409C-BE32-E72D297353CC}">
                    <c16:uniqueId val="{00000004-982D-4BE7-AB73-4D5BA0DAE04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TASK_2.2!$G$42</c15:sqref>
                        </c15:formulaRef>
                      </c:ext>
                    </c:extLst>
                    <c:strCache>
                      <c:ptCount val="1"/>
                      <c:pt idx="0">
                        <c:v>Average of Hours_In_Solved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TASK_2.2!$A$43:$A$52</c15:sqref>
                        </c15:formulaRef>
                      </c:ext>
                    </c:extLst>
                    <c:strCache>
                      <c:ptCount val="10"/>
                      <c:pt idx="0">
                        <c:v>Jessica Kim</c:v>
                      </c:pt>
                      <c:pt idx="1">
                        <c:v>Mike Chen</c:v>
                      </c:pt>
                      <c:pt idx="2">
                        <c:v>Amit Patel</c:v>
                      </c:pt>
                      <c:pt idx="3">
                        <c:v>Lisa Rodriguez</c:v>
                      </c:pt>
                      <c:pt idx="4">
                        <c:v>Priya Sharma</c:v>
                      </c:pt>
                      <c:pt idx="5">
                        <c:v>Rohit Gupta</c:v>
                      </c:pt>
                      <c:pt idx="6">
                        <c:v>Carlos Martinez</c:v>
                      </c:pt>
                      <c:pt idx="7">
                        <c:v>David Wilson</c:v>
                      </c:pt>
                      <c:pt idx="8">
                        <c:v>Sneha Reddy</c:v>
                      </c:pt>
                      <c:pt idx="9">
                        <c:v>Sarah Johnson</c:v>
                      </c:pt>
                    </c:strCache>
                  </c:strRef>
                </c:cat>
                <c:val>
                  <c:numRef>
                    <c:extLst xmlns:c15="http://schemas.microsoft.com/office/drawing/2012/chart">
                      <c:ext xmlns:c15="http://schemas.microsoft.com/office/drawing/2012/chart" uri="{02D57815-91ED-43cb-92C2-25804820EDAC}">
                        <c15:formulaRef>
                          <c15:sqref>TASK_2.2!$G$43:$G$52</c15:sqref>
                        </c15:formulaRef>
                      </c:ext>
                    </c:extLst>
                    <c:numCache>
                      <c:formatCode>0.0</c:formatCode>
                      <c:ptCount val="10"/>
                      <c:pt idx="0">
                        <c:v>157.29942652326071</c:v>
                      </c:pt>
                      <c:pt idx="1">
                        <c:v>185.93888888892252</c:v>
                      </c:pt>
                      <c:pt idx="2">
                        <c:v>138.55987037036101</c:v>
                      </c:pt>
                      <c:pt idx="3">
                        <c:v>161.32418300652782</c:v>
                      </c:pt>
                      <c:pt idx="4">
                        <c:v>116.70129629629665</c:v>
                      </c:pt>
                      <c:pt idx="5">
                        <c:v>144.90867063492936</c:v>
                      </c:pt>
                      <c:pt idx="6">
                        <c:v>162.2386752136965</c:v>
                      </c:pt>
                      <c:pt idx="7">
                        <c:v>141.84564102564653</c:v>
                      </c:pt>
                      <c:pt idx="8">
                        <c:v>212.36825757573189</c:v>
                      </c:pt>
                      <c:pt idx="9">
                        <c:v>223.97959595963104</c:v>
                      </c:pt>
                    </c:numCache>
                  </c:numRef>
                </c:val>
                <c:extLst xmlns:c15="http://schemas.microsoft.com/office/drawing/2012/chart">
                  <c:ext xmlns:c16="http://schemas.microsoft.com/office/drawing/2014/chart" uri="{C3380CC4-5D6E-409C-BE32-E72D297353CC}">
                    <c16:uniqueId val="{00000005-982D-4BE7-AB73-4D5BA0DAE04B}"/>
                  </c:ext>
                </c:extLst>
              </c15:ser>
            </c15:filteredBarSeries>
          </c:ext>
        </c:extLst>
      </c:barChart>
      <c:catAx>
        <c:axId val="1443339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HANDLER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357535"/>
        <c:crosses val="autoZero"/>
        <c:auto val="1"/>
        <c:lblAlgn val="ctr"/>
        <c:lblOffset val="100"/>
        <c:noMultiLvlLbl val="0"/>
      </c:catAx>
      <c:valAx>
        <c:axId val="14433575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DAYS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339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SOLVED_PERECENTAGE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3"/>
          <c:tx>
            <c:strRef>
              <c:f>TASK_2.2!$E$42</c:f>
              <c:strCache>
                <c:ptCount val="1"/>
                <c:pt idx="0">
                  <c:v>SOLVED_PER</c:v>
                </c:pt>
              </c:strCache>
              <c:extLst xmlns:c15="http://schemas.microsoft.com/office/drawing/2012/chart"/>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TASK_2.2!$A$43:$A$52</c:f>
              <c:strCache>
                <c:ptCount val="10"/>
                <c:pt idx="0">
                  <c:v>Jessica Kim</c:v>
                </c:pt>
                <c:pt idx="1">
                  <c:v>Mike Chen</c:v>
                </c:pt>
                <c:pt idx="2">
                  <c:v>Amit Patel</c:v>
                </c:pt>
                <c:pt idx="3">
                  <c:v>Lisa Rodriguez</c:v>
                </c:pt>
                <c:pt idx="4">
                  <c:v>Priya Sharma</c:v>
                </c:pt>
                <c:pt idx="5">
                  <c:v>Rohit Gupta</c:v>
                </c:pt>
                <c:pt idx="6">
                  <c:v>Carlos Martinez</c:v>
                </c:pt>
                <c:pt idx="7">
                  <c:v>David Wilson</c:v>
                </c:pt>
                <c:pt idx="8">
                  <c:v>Sneha Reddy</c:v>
                </c:pt>
                <c:pt idx="9">
                  <c:v>Sarah Johnson</c:v>
                </c:pt>
              </c:strCache>
              <c:extLst xmlns:c15="http://schemas.microsoft.com/office/drawing/2012/chart"/>
            </c:strRef>
          </c:cat>
          <c:val>
            <c:numRef>
              <c:f>TASK_2.2!$E$43:$E$52</c:f>
              <c:numCache>
                <c:formatCode>0%</c:formatCode>
                <c:ptCount val="10"/>
                <c:pt idx="0">
                  <c:v>0.84210526315789469</c:v>
                </c:pt>
                <c:pt idx="1">
                  <c:v>0.81818181818181823</c:v>
                </c:pt>
                <c:pt idx="2">
                  <c:v>0.78260869565217395</c:v>
                </c:pt>
                <c:pt idx="3">
                  <c:v>0.68</c:v>
                </c:pt>
                <c:pt idx="4">
                  <c:v>0.76190476190476186</c:v>
                </c:pt>
                <c:pt idx="5">
                  <c:v>0.88235294117647056</c:v>
                </c:pt>
                <c:pt idx="6">
                  <c:v>0.63636363636363635</c:v>
                </c:pt>
                <c:pt idx="7">
                  <c:v>0.72222222222222221</c:v>
                </c:pt>
                <c:pt idx="8">
                  <c:v>0.63157894736842102</c:v>
                </c:pt>
                <c:pt idx="9">
                  <c:v>0.73333333333333328</c:v>
                </c:pt>
              </c:numCache>
              <c:extLst xmlns:c15="http://schemas.microsoft.com/office/drawing/2012/chart"/>
            </c:numRef>
          </c:val>
          <c:extLst>
            <c:ext xmlns:c16="http://schemas.microsoft.com/office/drawing/2014/chart" uri="{C3380CC4-5D6E-409C-BE32-E72D297353CC}">
              <c16:uniqueId val="{00000004-AF5D-44D1-9B22-364D6E5B6996}"/>
            </c:ext>
          </c:extLst>
        </c:ser>
        <c:dLbls>
          <c:dLblPos val="outEnd"/>
          <c:showLegendKey val="0"/>
          <c:showVal val="1"/>
          <c:showCatName val="0"/>
          <c:showSerName val="0"/>
          <c:showPercent val="0"/>
          <c:showBubbleSize val="0"/>
        </c:dLbls>
        <c:gapWidth val="219"/>
        <c:overlap val="-27"/>
        <c:axId val="1443339775"/>
        <c:axId val="1443357535"/>
        <c:extLst>
          <c:ext xmlns:c15="http://schemas.microsoft.com/office/drawing/2012/chart" uri="{02D57815-91ED-43cb-92C2-25804820EDAC}">
            <c15:filteredBarSeries>
              <c15:ser>
                <c:idx val="0"/>
                <c:order val="0"/>
                <c:tx>
                  <c:strRef>
                    <c:extLst>
                      <c:ext uri="{02D57815-91ED-43cb-92C2-25804820EDAC}">
                        <c15:formulaRef>
                          <c15:sqref>TASK_2.2!$B$42</c15:sqref>
                        </c15:formulaRef>
                      </c:ext>
                    </c:extLst>
                    <c:strCache>
                      <c:ptCount val="1"/>
                      <c:pt idx="0">
                        <c:v>Complete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TASK_2.2!$A$43:$A$52</c15:sqref>
                        </c15:formulaRef>
                      </c:ext>
                    </c:extLst>
                    <c:strCache>
                      <c:ptCount val="10"/>
                      <c:pt idx="0">
                        <c:v>Jessica Kim</c:v>
                      </c:pt>
                      <c:pt idx="1">
                        <c:v>Mike Chen</c:v>
                      </c:pt>
                      <c:pt idx="2">
                        <c:v>Amit Patel</c:v>
                      </c:pt>
                      <c:pt idx="3">
                        <c:v>Lisa Rodriguez</c:v>
                      </c:pt>
                      <c:pt idx="4">
                        <c:v>Priya Sharma</c:v>
                      </c:pt>
                      <c:pt idx="5">
                        <c:v>Rohit Gupta</c:v>
                      </c:pt>
                      <c:pt idx="6">
                        <c:v>Carlos Martinez</c:v>
                      </c:pt>
                      <c:pt idx="7">
                        <c:v>David Wilson</c:v>
                      </c:pt>
                      <c:pt idx="8">
                        <c:v>Sneha Reddy</c:v>
                      </c:pt>
                      <c:pt idx="9">
                        <c:v>Sarah Johnson</c:v>
                      </c:pt>
                    </c:strCache>
                  </c:strRef>
                </c:cat>
                <c:val>
                  <c:numRef>
                    <c:extLst>
                      <c:ext uri="{02D57815-91ED-43cb-92C2-25804820EDAC}">
                        <c15:formulaRef>
                          <c15:sqref>TASK_2.2!$B$43:$B$52</c15:sqref>
                        </c15:formulaRef>
                      </c:ext>
                    </c:extLst>
                    <c:numCache>
                      <c:formatCode>General</c:formatCode>
                      <c:ptCount val="10"/>
                      <c:pt idx="0">
                        <c:v>32</c:v>
                      </c:pt>
                      <c:pt idx="1">
                        <c:v>18</c:v>
                      </c:pt>
                      <c:pt idx="2">
                        <c:v>18</c:v>
                      </c:pt>
                      <c:pt idx="3">
                        <c:v>17</c:v>
                      </c:pt>
                      <c:pt idx="4">
                        <c:v>16</c:v>
                      </c:pt>
                      <c:pt idx="5">
                        <c:v>15</c:v>
                      </c:pt>
                      <c:pt idx="6">
                        <c:v>14</c:v>
                      </c:pt>
                      <c:pt idx="7">
                        <c:v>13</c:v>
                      </c:pt>
                      <c:pt idx="8">
                        <c:v>12</c:v>
                      </c:pt>
                      <c:pt idx="9">
                        <c:v>11</c:v>
                      </c:pt>
                    </c:numCache>
                  </c:numRef>
                </c:val>
                <c:extLst>
                  <c:ext xmlns:c16="http://schemas.microsoft.com/office/drawing/2014/chart" uri="{C3380CC4-5D6E-409C-BE32-E72D297353CC}">
                    <c16:uniqueId val="{00000001-AF5D-44D1-9B22-364D6E5B699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TASK_2.2!$C$42</c15:sqref>
                        </c15:formulaRef>
                      </c:ext>
                    </c:extLst>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TASK_2.2!$A$43:$A$52</c15:sqref>
                        </c15:formulaRef>
                      </c:ext>
                    </c:extLst>
                    <c:strCache>
                      <c:ptCount val="10"/>
                      <c:pt idx="0">
                        <c:v>Jessica Kim</c:v>
                      </c:pt>
                      <c:pt idx="1">
                        <c:v>Mike Chen</c:v>
                      </c:pt>
                      <c:pt idx="2">
                        <c:v>Amit Patel</c:v>
                      </c:pt>
                      <c:pt idx="3">
                        <c:v>Lisa Rodriguez</c:v>
                      </c:pt>
                      <c:pt idx="4">
                        <c:v>Priya Sharma</c:v>
                      </c:pt>
                      <c:pt idx="5">
                        <c:v>Rohit Gupta</c:v>
                      </c:pt>
                      <c:pt idx="6">
                        <c:v>Carlos Martinez</c:v>
                      </c:pt>
                      <c:pt idx="7">
                        <c:v>David Wilson</c:v>
                      </c:pt>
                      <c:pt idx="8">
                        <c:v>Sneha Reddy</c:v>
                      </c:pt>
                      <c:pt idx="9">
                        <c:v>Sarah Johnson</c:v>
                      </c:pt>
                    </c:strCache>
                  </c:strRef>
                </c:cat>
                <c:val>
                  <c:numRef>
                    <c:extLst xmlns:c15="http://schemas.microsoft.com/office/drawing/2012/chart">
                      <c:ext xmlns:c15="http://schemas.microsoft.com/office/drawing/2012/chart" uri="{02D57815-91ED-43cb-92C2-25804820EDAC}">
                        <c15:formulaRef>
                          <c15:sqref>TASK_2.2!$C$43:$C$52</c15:sqref>
                        </c15:formulaRef>
                      </c:ext>
                    </c:extLst>
                    <c:numCache>
                      <c:formatCode>General</c:formatCode>
                      <c:ptCount val="10"/>
                      <c:pt idx="0">
                        <c:v>6</c:v>
                      </c:pt>
                      <c:pt idx="1">
                        <c:v>4</c:v>
                      </c:pt>
                      <c:pt idx="2">
                        <c:v>5</c:v>
                      </c:pt>
                      <c:pt idx="3">
                        <c:v>8</c:v>
                      </c:pt>
                      <c:pt idx="4">
                        <c:v>5</c:v>
                      </c:pt>
                      <c:pt idx="5">
                        <c:v>2</c:v>
                      </c:pt>
                      <c:pt idx="6">
                        <c:v>8</c:v>
                      </c:pt>
                      <c:pt idx="7">
                        <c:v>5</c:v>
                      </c:pt>
                      <c:pt idx="8">
                        <c:v>7</c:v>
                      </c:pt>
                      <c:pt idx="9">
                        <c:v>4</c:v>
                      </c:pt>
                    </c:numCache>
                  </c:numRef>
                </c:val>
                <c:extLst xmlns:c15="http://schemas.microsoft.com/office/drawing/2012/chart">
                  <c:ext xmlns:c16="http://schemas.microsoft.com/office/drawing/2014/chart" uri="{C3380CC4-5D6E-409C-BE32-E72D297353CC}">
                    <c16:uniqueId val="{00000002-AF5D-44D1-9B22-364D6E5B699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TASK_2.2!$D$42</c15:sqref>
                        </c15:formulaRef>
                      </c:ext>
                    </c:extLst>
                    <c:strCache>
                      <c:ptCount val="1"/>
                      <c:pt idx="0">
                        <c:v>Count of Ticket No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TASK_2.2!$A$43:$A$52</c15:sqref>
                        </c15:formulaRef>
                      </c:ext>
                    </c:extLst>
                    <c:strCache>
                      <c:ptCount val="10"/>
                      <c:pt idx="0">
                        <c:v>Jessica Kim</c:v>
                      </c:pt>
                      <c:pt idx="1">
                        <c:v>Mike Chen</c:v>
                      </c:pt>
                      <c:pt idx="2">
                        <c:v>Amit Patel</c:v>
                      </c:pt>
                      <c:pt idx="3">
                        <c:v>Lisa Rodriguez</c:v>
                      </c:pt>
                      <c:pt idx="4">
                        <c:v>Priya Sharma</c:v>
                      </c:pt>
                      <c:pt idx="5">
                        <c:v>Rohit Gupta</c:v>
                      </c:pt>
                      <c:pt idx="6">
                        <c:v>Carlos Martinez</c:v>
                      </c:pt>
                      <c:pt idx="7">
                        <c:v>David Wilson</c:v>
                      </c:pt>
                      <c:pt idx="8">
                        <c:v>Sneha Reddy</c:v>
                      </c:pt>
                      <c:pt idx="9">
                        <c:v>Sarah Johnson</c:v>
                      </c:pt>
                    </c:strCache>
                  </c:strRef>
                </c:cat>
                <c:val>
                  <c:numRef>
                    <c:extLst xmlns:c15="http://schemas.microsoft.com/office/drawing/2012/chart">
                      <c:ext xmlns:c15="http://schemas.microsoft.com/office/drawing/2012/chart" uri="{02D57815-91ED-43cb-92C2-25804820EDAC}">
                        <c15:formulaRef>
                          <c15:sqref>TASK_2.2!$D$43:$D$52</c15:sqref>
                        </c15:formulaRef>
                      </c:ext>
                    </c:extLst>
                    <c:numCache>
                      <c:formatCode>General</c:formatCode>
                      <c:ptCount val="10"/>
                      <c:pt idx="0">
                        <c:v>38</c:v>
                      </c:pt>
                      <c:pt idx="1">
                        <c:v>22</c:v>
                      </c:pt>
                      <c:pt idx="2">
                        <c:v>23</c:v>
                      </c:pt>
                      <c:pt idx="3">
                        <c:v>25</c:v>
                      </c:pt>
                      <c:pt idx="4">
                        <c:v>21</c:v>
                      </c:pt>
                      <c:pt idx="5">
                        <c:v>17</c:v>
                      </c:pt>
                      <c:pt idx="6">
                        <c:v>22</c:v>
                      </c:pt>
                      <c:pt idx="7">
                        <c:v>18</c:v>
                      </c:pt>
                      <c:pt idx="8">
                        <c:v>19</c:v>
                      </c:pt>
                      <c:pt idx="9">
                        <c:v>15</c:v>
                      </c:pt>
                    </c:numCache>
                  </c:numRef>
                </c:val>
                <c:extLst xmlns:c15="http://schemas.microsoft.com/office/drawing/2012/chart">
                  <c:ext xmlns:c16="http://schemas.microsoft.com/office/drawing/2014/chart" uri="{C3380CC4-5D6E-409C-BE32-E72D297353CC}">
                    <c16:uniqueId val="{00000003-AF5D-44D1-9B22-364D6E5B699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TASK_2.2!$F$42</c15:sqref>
                        </c15:formulaRef>
                      </c:ext>
                    </c:extLst>
                    <c:strCache>
                      <c:ptCount val="1"/>
                      <c:pt idx="0">
                        <c:v>PENDING_PER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TASK_2.2!$A$43:$A$52</c15:sqref>
                        </c15:formulaRef>
                      </c:ext>
                    </c:extLst>
                    <c:strCache>
                      <c:ptCount val="10"/>
                      <c:pt idx="0">
                        <c:v>Jessica Kim</c:v>
                      </c:pt>
                      <c:pt idx="1">
                        <c:v>Mike Chen</c:v>
                      </c:pt>
                      <c:pt idx="2">
                        <c:v>Amit Patel</c:v>
                      </c:pt>
                      <c:pt idx="3">
                        <c:v>Lisa Rodriguez</c:v>
                      </c:pt>
                      <c:pt idx="4">
                        <c:v>Priya Sharma</c:v>
                      </c:pt>
                      <c:pt idx="5">
                        <c:v>Rohit Gupta</c:v>
                      </c:pt>
                      <c:pt idx="6">
                        <c:v>Carlos Martinez</c:v>
                      </c:pt>
                      <c:pt idx="7">
                        <c:v>David Wilson</c:v>
                      </c:pt>
                      <c:pt idx="8">
                        <c:v>Sneha Reddy</c:v>
                      </c:pt>
                      <c:pt idx="9">
                        <c:v>Sarah Johnson</c:v>
                      </c:pt>
                    </c:strCache>
                  </c:strRef>
                </c:cat>
                <c:val>
                  <c:numRef>
                    <c:extLst xmlns:c15="http://schemas.microsoft.com/office/drawing/2012/chart">
                      <c:ext xmlns:c15="http://schemas.microsoft.com/office/drawing/2012/chart" uri="{02D57815-91ED-43cb-92C2-25804820EDAC}">
                        <c15:formulaRef>
                          <c15:sqref>TASK_2.2!$F$43:$F$52</c15:sqref>
                        </c15:formulaRef>
                      </c:ext>
                    </c:extLst>
                    <c:numCache>
                      <c:formatCode>0%</c:formatCode>
                      <c:ptCount val="10"/>
                      <c:pt idx="0">
                        <c:v>0.15789473684210525</c:v>
                      </c:pt>
                      <c:pt idx="1">
                        <c:v>0.18181818181818182</c:v>
                      </c:pt>
                      <c:pt idx="2">
                        <c:v>0.21739130434782608</c:v>
                      </c:pt>
                      <c:pt idx="3">
                        <c:v>0.32</c:v>
                      </c:pt>
                      <c:pt idx="4">
                        <c:v>0.23809523809523808</c:v>
                      </c:pt>
                      <c:pt idx="5">
                        <c:v>0.11764705882352941</c:v>
                      </c:pt>
                      <c:pt idx="6">
                        <c:v>0.36363636363636365</c:v>
                      </c:pt>
                      <c:pt idx="7">
                        <c:v>0.27777777777777779</c:v>
                      </c:pt>
                      <c:pt idx="8">
                        <c:v>0.36842105263157893</c:v>
                      </c:pt>
                      <c:pt idx="9">
                        <c:v>0.26666666666666666</c:v>
                      </c:pt>
                    </c:numCache>
                  </c:numRef>
                </c:val>
                <c:extLst xmlns:c15="http://schemas.microsoft.com/office/drawing/2012/chart">
                  <c:ext xmlns:c16="http://schemas.microsoft.com/office/drawing/2014/chart" uri="{C3380CC4-5D6E-409C-BE32-E72D297353CC}">
                    <c16:uniqueId val="{00000005-AF5D-44D1-9B22-364D6E5B699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TASK_2.2!$G$42</c15:sqref>
                        </c15:formulaRef>
                      </c:ext>
                    </c:extLst>
                    <c:strCache>
                      <c:ptCount val="1"/>
                      <c:pt idx="0">
                        <c:v>Average of Hours_In_Solved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TASK_2.2!$A$43:$A$52</c15:sqref>
                        </c15:formulaRef>
                      </c:ext>
                    </c:extLst>
                    <c:strCache>
                      <c:ptCount val="10"/>
                      <c:pt idx="0">
                        <c:v>Jessica Kim</c:v>
                      </c:pt>
                      <c:pt idx="1">
                        <c:v>Mike Chen</c:v>
                      </c:pt>
                      <c:pt idx="2">
                        <c:v>Amit Patel</c:v>
                      </c:pt>
                      <c:pt idx="3">
                        <c:v>Lisa Rodriguez</c:v>
                      </c:pt>
                      <c:pt idx="4">
                        <c:v>Priya Sharma</c:v>
                      </c:pt>
                      <c:pt idx="5">
                        <c:v>Rohit Gupta</c:v>
                      </c:pt>
                      <c:pt idx="6">
                        <c:v>Carlos Martinez</c:v>
                      </c:pt>
                      <c:pt idx="7">
                        <c:v>David Wilson</c:v>
                      </c:pt>
                      <c:pt idx="8">
                        <c:v>Sneha Reddy</c:v>
                      </c:pt>
                      <c:pt idx="9">
                        <c:v>Sarah Johnson</c:v>
                      </c:pt>
                    </c:strCache>
                  </c:strRef>
                </c:cat>
                <c:val>
                  <c:numRef>
                    <c:extLst xmlns:c15="http://schemas.microsoft.com/office/drawing/2012/chart">
                      <c:ext xmlns:c15="http://schemas.microsoft.com/office/drawing/2012/chart" uri="{02D57815-91ED-43cb-92C2-25804820EDAC}">
                        <c15:formulaRef>
                          <c15:sqref>TASK_2.2!$G$43:$G$52</c15:sqref>
                        </c15:formulaRef>
                      </c:ext>
                    </c:extLst>
                    <c:numCache>
                      <c:formatCode>0.0</c:formatCode>
                      <c:ptCount val="10"/>
                      <c:pt idx="0">
                        <c:v>157.29942652326071</c:v>
                      </c:pt>
                      <c:pt idx="1">
                        <c:v>185.93888888892252</c:v>
                      </c:pt>
                      <c:pt idx="2">
                        <c:v>138.55987037036101</c:v>
                      </c:pt>
                      <c:pt idx="3">
                        <c:v>161.32418300652782</c:v>
                      </c:pt>
                      <c:pt idx="4">
                        <c:v>116.70129629629665</c:v>
                      </c:pt>
                      <c:pt idx="5">
                        <c:v>144.90867063492936</c:v>
                      </c:pt>
                      <c:pt idx="6">
                        <c:v>162.2386752136965</c:v>
                      </c:pt>
                      <c:pt idx="7">
                        <c:v>141.84564102564653</c:v>
                      </c:pt>
                      <c:pt idx="8">
                        <c:v>212.36825757573189</c:v>
                      </c:pt>
                      <c:pt idx="9">
                        <c:v>223.97959595963104</c:v>
                      </c:pt>
                    </c:numCache>
                  </c:numRef>
                </c:val>
                <c:extLst xmlns:c15="http://schemas.microsoft.com/office/drawing/2012/chart">
                  <c:ext xmlns:c16="http://schemas.microsoft.com/office/drawing/2014/chart" uri="{C3380CC4-5D6E-409C-BE32-E72D297353CC}">
                    <c16:uniqueId val="{00000006-AF5D-44D1-9B22-364D6E5B6996}"/>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TASK_2.2!$H$42</c15:sqref>
                        </c15:formulaRef>
                      </c:ext>
                    </c:extLst>
                    <c:strCache>
                      <c:ptCount val="1"/>
                      <c:pt idx="0">
                        <c:v>Average of Days_In_Solved</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TASK_2.2!$A$43:$A$52</c15:sqref>
                        </c15:formulaRef>
                      </c:ext>
                    </c:extLst>
                    <c:strCache>
                      <c:ptCount val="10"/>
                      <c:pt idx="0">
                        <c:v>Jessica Kim</c:v>
                      </c:pt>
                      <c:pt idx="1">
                        <c:v>Mike Chen</c:v>
                      </c:pt>
                      <c:pt idx="2">
                        <c:v>Amit Patel</c:v>
                      </c:pt>
                      <c:pt idx="3">
                        <c:v>Lisa Rodriguez</c:v>
                      </c:pt>
                      <c:pt idx="4">
                        <c:v>Priya Sharma</c:v>
                      </c:pt>
                      <c:pt idx="5">
                        <c:v>Rohit Gupta</c:v>
                      </c:pt>
                      <c:pt idx="6">
                        <c:v>Carlos Martinez</c:v>
                      </c:pt>
                      <c:pt idx="7">
                        <c:v>David Wilson</c:v>
                      </c:pt>
                      <c:pt idx="8">
                        <c:v>Sneha Reddy</c:v>
                      </c:pt>
                      <c:pt idx="9">
                        <c:v>Sarah Johnson</c:v>
                      </c:pt>
                    </c:strCache>
                  </c:strRef>
                </c:cat>
                <c:val>
                  <c:numRef>
                    <c:extLst xmlns:c15="http://schemas.microsoft.com/office/drawing/2012/chart">
                      <c:ext xmlns:c15="http://schemas.microsoft.com/office/drawing/2012/chart" uri="{02D57815-91ED-43cb-92C2-25804820EDAC}">
                        <c15:formulaRef>
                          <c15:sqref>TASK_2.2!$H$43:$H$52</c15:sqref>
                        </c15:formulaRef>
                      </c:ext>
                    </c:extLst>
                    <c:numCache>
                      <c:formatCode>0.0</c:formatCode>
                      <c:ptCount val="10"/>
                      <c:pt idx="0">
                        <c:v>6.5541935483870963</c:v>
                      </c:pt>
                      <c:pt idx="1">
                        <c:v>7.7472222222222218</c:v>
                      </c:pt>
                      <c:pt idx="2">
                        <c:v>5.7713333333333328</c:v>
                      </c:pt>
                      <c:pt idx="3">
                        <c:v>6.7217647058823538</c:v>
                      </c:pt>
                      <c:pt idx="4">
                        <c:v>4.8619999999999983</c:v>
                      </c:pt>
                      <c:pt idx="5">
                        <c:v>6.0371428571428565</c:v>
                      </c:pt>
                      <c:pt idx="6">
                        <c:v>6.7607692307692311</c:v>
                      </c:pt>
                      <c:pt idx="7">
                        <c:v>5.9107692307692314</c:v>
                      </c:pt>
                      <c:pt idx="8">
                        <c:v>8.8490909090909078</c:v>
                      </c:pt>
                      <c:pt idx="9">
                        <c:v>9.3318181818181802</c:v>
                      </c:pt>
                    </c:numCache>
                  </c:numRef>
                </c:val>
                <c:extLst xmlns:c15="http://schemas.microsoft.com/office/drawing/2012/chart">
                  <c:ext xmlns:c16="http://schemas.microsoft.com/office/drawing/2014/chart" uri="{C3380CC4-5D6E-409C-BE32-E72D297353CC}">
                    <c16:uniqueId val="{00000000-AF5D-44D1-9B22-364D6E5B6996}"/>
                  </c:ext>
                </c:extLst>
              </c15:ser>
            </c15:filteredBarSeries>
          </c:ext>
        </c:extLst>
      </c:barChart>
      <c:catAx>
        <c:axId val="1443339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HANDLER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357535"/>
        <c:crosses val="autoZero"/>
        <c:auto val="1"/>
        <c:lblAlgn val="ctr"/>
        <c:lblOffset val="100"/>
        <c:noMultiLvlLbl val="0"/>
      </c:catAx>
      <c:valAx>
        <c:axId val="14433575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PERCENTAGE</a:t>
                </a:r>
              </a:p>
              <a:p>
                <a:pPr>
                  <a:defRPr/>
                </a:pPr>
                <a:r>
                  <a:rPr lang="en-IN"/>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339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TICKETS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TASK_2.2!$C$73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EC-49A9-AF1A-ED0040E521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EC-49A9-AF1A-ED0040E521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EC-49A9-AF1A-ED0040E521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EC-49A9-AF1A-ED0040E521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7EC-49A9-AF1A-ED0040E5219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7EC-49A9-AF1A-ED0040E5219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7EC-49A9-AF1A-ED0040E521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TASK_2.2!$A$74:$A$80</c:f>
              <c:strCache>
                <c:ptCount val="7"/>
                <c:pt idx="0">
                  <c:v>SUNDAY</c:v>
                </c:pt>
                <c:pt idx="1">
                  <c:v>MONDAYS</c:v>
                </c:pt>
                <c:pt idx="2">
                  <c:v>TUESDAY</c:v>
                </c:pt>
                <c:pt idx="3">
                  <c:v>WEDNESDAY</c:v>
                </c:pt>
                <c:pt idx="4">
                  <c:v>THURSDAY</c:v>
                </c:pt>
                <c:pt idx="5">
                  <c:v>FRIDAY</c:v>
                </c:pt>
                <c:pt idx="6">
                  <c:v>SATURDAY</c:v>
                </c:pt>
              </c:strCache>
            </c:strRef>
          </c:cat>
          <c:val>
            <c:numRef>
              <c:f>TASK_2.2!$C$74:$C$80</c:f>
              <c:numCache>
                <c:formatCode>0%</c:formatCode>
                <c:ptCount val="7"/>
                <c:pt idx="0">
                  <c:v>0.19111111111111112</c:v>
                </c:pt>
                <c:pt idx="1">
                  <c:v>0.12</c:v>
                </c:pt>
                <c:pt idx="2">
                  <c:v>0.10222222222222223</c:v>
                </c:pt>
                <c:pt idx="3">
                  <c:v>0.14666666666666667</c:v>
                </c:pt>
                <c:pt idx="4">
                  <c:v>9.7777777777777783E-2</c:v>
                </c:pt>
                <c:pt idx="5">
                  <c:v>0.16</c:v>
                </c:pt>
                <c:pt idx="6">
                  <c:v>0.18222222222222223</c:v>
                </c:pt>
              </c:numCache>
            </c:numRef>
          </c:val>
          <c:extLst>
            <c:ext xmlns:c16="http://schemas.microsoft.com/office/drawing/2014/chart" uri="{C3380CC4-5D6E-409C-BE32-E72D297353CC}">
              <c16:uniqueId val="{00000000-18D5-4641-BAE4-285DB76A932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81916390885922E-2"/>
          <c:y val="0.11268663964666993"/>
          <c:w val="0.91553349309597165"/>
          <c:h val="0.81683250743879232"/>
        </c:manualLayout>
      </c:layout>
      <c:barChart>
        <c:barDir val="col"/>
        <c:grouping val="clustered"/>
        <c:varyColors val="0"/>
        <c:ser>
          <c:idx val="0"/>
          <c:order val="0"/>
          <c:tx>
            <c:strRef>
              <c:f>TASK_2.2!$B$88</c:f>
              <c:strCache>
                <c:ptCount val="1"/>
                <c:pt idx="0">
                  <c:v>Count of Ticket received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TASK_2.2!$A$89:$A$119</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TASK_2.2!$B$89:$B$119</c:f>
              <c:numCache>
                <c:formatCode>General</c:formatCode>
                <c:ptCount val="31"/>
                <c:pt idx="0">
                  <c:v>5</c:v>
                </c:pt>
                <c:pt idx="1">
                  <c:v>4</c:v>
                </c:pt>
                <c:pt idx="2">
                  <c:v>6</c:v>
                </c:pt>
                <c:pt idx="3">
                  <c:v>5</c:v>
                </c:pt>
                <c:pt idx="4">
                  <c:v>6</c:v>
                </c:pt>
                <c:pt idx="5">
                  <c:v>3</c:v>
                </c:pt>
                <c:pt idx="6">
                  <c:v>2</c:v>
                </c:pt>
                <c:pt idx="7">
                  <c:v>2</c:v>
                </c:pt>
                <c:pt idx="8">
                  <c:v>10</c:v>
                </c:pt>
                <c:pt idx="9">
                  <c:v>4</c:v>
                </c:pt>
                <c:pt idx="10">
                  <c:v>3</c:v>
                </c:pt>
                <c:pt idx="11">
                  <c:v>3</c:v>
                </c:pt>
                <c:pt idx="12">
                  <c:v>5</c:v>
                </c:pt>
                <c:pt idx="13">
                  <c:v>3</c:v>
                </c:pt>
                <c:pt idx="14">
                  <c:v>4</c:v>
                </c:pt>
                <c:pt idx="15">
                  <c:v>3</c:v>
                </c:pt>
                <c:pt idx="16">
                  <c:v>3</c:v>
                </c:pt>
                <c:pt idx="17">
                  <c:v>4</c:v>
                </c:pt>
                <c:pt idx="18">
                  <c:v>4</c:v>
                </c:pt>
                <c:pt idx="19">
                  <c:v>5</c:v>
                </c:pt>
                <c:pt idx="20">
                  <c:v>6</c:v>
                </c:pt>
                <c:pt idx="21">
                  <c:v>5</c:v>
                </c:pt>
                <c:pt idx="22">
                  <c:v>6</c:v>
                </c:pt>
                <c:pt idx="23">
                  <c:v>5</c:v>
                </c:pt>
                <c:pt idx="24">
                  <c:v>2</c:v>
                </c:pt>
                <c:pt idx="25">
                  <c:v>2</c:v>
                </c:pt>
                <c:pt idx="26">
                  <c:v>7</c:v>
                </c:pt>
                <c:pt idx="27">
                  <c:v>4</c:v>
                </c:pt>
                <c:pt idx="28">
                  <c:v>4</c:v>
                </c:pt>
                <c:pt idx="29">
                  <c:v>5</c:v>
                </c:pt>
                <c:pt idx="30">
                  <c:v>10</c:v>
                </c:pt>
              </c:numCache>
            </c:numRef>
          </c:val>
          <c:extLst>
            <c:ext xmlns:c16="http://schemas.microsoft.com/office/drawing/2014/chart" uri="{C3380CC4-5D6E-409C-BE32-E72D297353CC}">
              <c16:uniqueId val="{00000000-909E-4175-A4A5-2E1EFF8A48DF}"/>
            </c:ext>
          </c:extLst>
        </c:ser>
        <c:dLbls>
          <c:dLblPos val="outEnd"/>
          <c:showLegendKey val="0"/>
          <c:showVal val="1"/>
          <c:showCatName val="0"/>
          <c:showSerName val="0"/>
          <c:showPercent val="0"/>
          <c:showBubbleSize val="0"/>
        </c:dLbls>
        <c:gapWidth val="219"/>
        <c:overlap val="-27"/>
        <c:axId val="1213153503"/>
        <c:axId val="1213151103"/>
      </c:barChart>
      <c:catAx>
        <c:axId val="121315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51103"/>
        <c:crosses val="autoZero"/>
        <c:auto val="1"/>
        <c:lblAlgn val="ctr"/>
        <c:lblOffset val="100"/>
        <c:noMultiLvlLbl val="0"/>
      </c:catAx>
      <c:valAx>
        <c:axId val="1213151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535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TASK_2.2!$I$88</c:f>
              <c:strCache>
                <c:ptCount val="1"/>
                <c:pt idx="0">
                  <c:v>Count of Ticket received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TASK_2.2!$H$89:$H$108</c:f>
              <c:numCache>
                <c:formatCode>General</c:formatCode>
                <c:ptCount val="20"/>
                <c:pt idx="0">
                  <c:v>1</c:v>
                </c:pt>
                <c:pt idx="1">
                  <c:v>2</c:v>
                </c:pt>
                <c:pt idx="2">
                  <c:v>3</c:v>
                </c:pt>
                <c:pt idx="3">
                  <c:v>4</c:v>
                </c:pt>
                <c:pt idx="4">
                  <c:v>5</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numCache>
            </c:numRef>
          </c:cat>
          <c:val>
            <c:numRef>
              <c:f>TASK_2.2!$I$89:$I$108</c:f>
              <c:numCache>
                <c:formatCode>General</c:formatCode>
                <c:ptCount val="20"/>
                <c:pt idx="0">
                  <c:v>4</c:v>
                </c:pt>
                <c:pt idx="1">
                  <c:v>3</c:v>
                </c:pt>
                <c:pt idx="2">
                  <c:v>4</c:v>
                </c:pt>
                <c:pt idx="3">
                  <c:v>2</c:v>
                </c:pt>
                <c:pt idx="4">
                  <c:v>3</c:v>
                </c:pt>
                <c:pt idx="5">
                  <c:v>2</c:v>
                </c:pt>
                <c:pt idx="6">
                  <c:v>4</c:v>
                </c:pt>
                <c:pt idx="7">
                  <c:v>2</c:v>
                </c:pt>
                <c:pt idx="8">
                  <c:v>4</c:v>
                </c:pt>
                <c:pt idx="9">
                  <c:v>2</c:v>
                </c:pt>
                <c:pt idx="10">
                  <c:v>7</c:v>
                </c:pt>
                <c:pt idx="11">
                  <c:v>7</c:v>
                </c:pt>
                <c:pt idx="12">
                  <c:v>7</c:v>
                </c:pt>
                <c:pt idx="13">
                  <c:v>5</c:v>
                </c:pt>
                <c:pt idx="14">
                  <c:v>3</c:v>
                </c:pt>
                <c:pt idx="15">
                  <c:v>5</c:v>
                </c:pt>
                <c:pt idx="16">
                  <c:v>3</c:v>
                </c:pt>
                <c:pt idx="17">
                  <c:v>6</c:v>
                </c:pt>
                <c:pt idx="18">
                  <c:v>6</c:v>
                </c:pt>
                <c:pt idx="19">
                  <c:v>6</c:v>
                </c:pt>
              </c:numCache>
            </c:numRef>
          </c:val>
          <c:extLst>
            <c:ext xmlns:c16="http://schemas.microsoft.com/office/drawing/2014/chart" uri="{C3380CC4-5D6E-409C-BE32-E72D297353CC}">
              <c16:uniqueId val="{00000000-D296-47D5-A44F-68725DD79403}"/>
            </c:ext>
          </c:extLst>
        </c:ser>
        <c:dLbls>
          <c:dLblPos val="outEnd"/>
          <c:showLegendKey val="0"/>
          <c:showVal val="1"/>
          <c:showCatName val="0"/>
          <c:showSerName val="0"/>
          <c:showPercent val="0"/>
          <c:showBubbleSize val="0"/>
        </c:dLbls>
        <c:gapWidth val="219"/>
        <c:overlap val="-27"/>
        <c:axId val="1122316847"/>
        <c:axId val="1122323567"/>
      </c:barChart>
      <c:catAx>
        <c:axId val="112231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23567"/>
        <c:crosses val="autoZero"/>
        <c:auto val="1"/>
        <c:lblAlgn val="ctr"/>
        <c:lblOffset val="100"/>
        <c:noMultiLvlLbl val="0"/>
      </c:catAx>
      <c:valAx>
        <c:axId val="1122323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168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HOUR WISE TICKET</a:t>
            </a:r>
            <a:r>
              <a:rPr lang="en-IN" baseline="0"/>
              <a:t> DISTRIBUTION </a:t>
            </a:r>
            <a:endParaRPr lang="en-IN"/>
          </a:p>
        </c:rich>
      </c:tx>
      <c:layout>
        <c:manualLayout>
          <c:xMode val="edge"/>
          <c:yMode val="edge"/>
          <c:x val="0.43003343530685273"/>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TASK_2.2!$B$122</c:f>
              <c:strCache>
                <c:ptCount val="1"/>
                <c:pt idx="0">
                  <c:v>Count of Ticket received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TASK_2.2!$A$123:$A$134</c:f>
              <c:strCache>
                <c:ptCount val="12"/>
                <c:pt idx="0">
                  <c:v>9 - 10 hr</c:v>
                </c:pt>
                <c:pt idx="1">
                  <c:v>10 - 11 hr</c:v>
                </c:pt>
                <c:pt idx="2">
                  <c:v>11 - 12 hr</c:v>
                </c:pt>
                <c:pt idx="3">
                  <c:v>12 - 13 hr</c:v>
                </c:pt>
                <c:pt idx="4">
                  <c:v>13 - 14 hr</c:v>
                </c:pt>
                <c:pt idx="5">
                  <c:v>14 - 15 hr</c:v>
                </c:pt>
                <c:pt idx="6">
                  <c:v>15 - 16 hr</c:v>
                </c:pt>
                <c:pt idx="7">
                  <c:v>16 - 17 hr</c:v>
                </c:pt>
                <c:pt idx="8">
                  <c:v>17 - 18 hr</c:v>
                </c:pt>
                <c:pt idx="9">
                  <c:v>18 - 19 hr</c:v>
                </c:pt>
                <c:pt idx="10">
                  <c:v>19 - 20 hr</c:v>
                </c:pt>
                <c:pt idx="11">
                  <c:v>20 - 21 hr</c:v>
                </c:pt>
              </c:strCache>
            </c:strRef>
          </c:cat>
          <c:val>
            <c:numRef>
              <c:f>TASK_2.2!$B$123:$B$134</c:f>
              <c:numCache>
                <c:formatCode>General</c:formatCode>
                <c:ptCount val="12"/>
                <c:pt idx="0">
                  <c:v>25</c:v>
                </c:pt>
                <c:pt idx="1">
                  <c:v>16</c:v>
                </c:pt>
                <c:pt idx="2">
                  <c:v>13</c:v>
                </c:pt>
                <c:pt idx="3">
                  <c:v>25</c:v>
                </c:pt>
                <c:pt idx="4">
                  <c:v>24</c:v>
                </c:pt>
                <c:pt idx="5">
                  <c:v>15</c:v>
                </c:pt>
                <c:pt idx="6">
                  <c:v>18</c:v>
                </c:pt>
                <c:pt idx="7">
                  <c:v>24</c:v>
                </c:pt>
                <c:pt idx="8">
                  <c:v>16</c:v>
                </c:pt>
                <c:pt idx="9">
                  <c:v>20</c:v>
                </c:pt>
                <c:pt idx="10">
                  <c:v>15</c:v>
                </c:pt>
                <c:pt idx="11">
                  <c:v>14</c:v>
                </c:pt>
              </c:numCache>
            </c:numRef>
          </c:val>
          <c:extLst>
            <c:ext xmlns:c16="http://schemas.microsoft.com/office/drawing/2014/chart" uri="{C3380CC4-5D6E-409C-BE32-E72D297353CC}">
              <c16:uniqueId val="{00000000-7A59-490C-A0ED-E6ADE00D5F7B}"/>
            </c:ext>
          </c:extLst>
        </c:ser>
        <c:dLbls>
          <c:showLegendKey val="0"/>
          <c:showVal val="1"/>
          <c:showCatName val="0"/>
          <c:showSerName val="0"/>
          <c:showPercent val="0"/>
          <c:showBubbleSize val="0"/>
        </c:dLbls>
        <c:gapWidth val="219"/>
        <c:overlap val="-27"/>
        <c:axId val="1443340735"/>
        <c:axId val="1443341215"/>
      </c:barChart>
      <c:lineChart>
        <c:grouping val="standard"/>
        <c:varyColors val="0"/>
        <c:ser>
          <c:idx val="1"/>
          <c:order val="1"/>
          <c:tx>
            <c:strRef>
              <c:f>TASK_2.2!$C$122</c:f>
              <c:strCache>
                <c:ptCount val="1"/>
                <c:pt idx="0">
                  <c:v>PERCENTAGE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TASK_2.2!$A$123:$A$134</c:f>
              <c:strCache>
                <c:ptCount val="12"/>
                <c:pt idx="0">
                  <c:v>9 - 10 hr</c:v>
                </c:pt>
                <c:pt idx="1">
                  <c:v>10 - 11 hr</c:v>
                </c:pt>
                <c:pt idx="2">
                  <c:v>11 - 12 hr</c:v>
                </c:pt>
                <c:pt idx="3">
                  <c:v>12 - 13 hr</c:v>
                </c:pt>
                <c:pt idx="4">
                  <c:v>13 - 14 hr</c:v>
                </c:pt>
                <c:pt idx="5">
                  <c:v>14 - 15 hr</c:v>
                </c:pt>
                <c:pt idx="6">
                  <c:v>15 - 16 hr</c:v>
                </c:pt>
                <c:pt idx="7">
                  <c:v>16 - 17 hr</c:v>
                </c:pt>
                <c:pt idx="8">
                  <c:v>17 - 18 hr</c:v>
                </c:pt>
                <c:pt idx="9">
                  <c:v>18 - 19 hr</c:v>
                </c:pt>
                <c:pt idx="10">
                  <c:v>19 - 20 hr</c:v>
                </c:pt>
                <c:pt idx="11">
                  <c:v>20 - 21 hr</c:v>
                </c:pt>
              </c:strCache>
            </c:strRef>
          </c:cat>
          <c:val>
            <c:numRef>
              <c:f>TASK_2.2!$C$123:$C$134</c:f>
              <c:numCache>
                <c:formatCode>0%</c:formatCode>
                <c:ptCount val="12"/>
                <c:pt idx="0">
                  <c:v>0.1111111111111111</c:v>
                </c:pt>
                <c:pt idx="1">
                  <c:v>7.1111111111111111E-2</c:v>
                </c:pt>
                <c:pt idx="2">
                  <c:v>5.7777777777777775E-2</c:v>
                </c:pt>
                <c:pt idx="3">
                  <c:v>0.1111111111111111</c:v>
                </c:pt>
                <c:pt idx="4">
                  <c:v>0.10666666666666667</c:v>
                </c:pt>
                <c:pt idx="5">
                  <c:v>6.6666666666666666E-2</c:v>
                </c:pt>
                <c:pt idx="6">
                  <c:v>0.08</c:v>
                </c:pt>
                <c:pt idx="7">
                  <c:v>0.10666666666666667</c:v>
                </c:pt>
                <c:pt idx="8">
                  <c:v>7.1111111111111111E-2</c:v>
                </c:pt>
                <c:pt idx="9">
                  <c:v>8.8888888888888892E-2</c:v>
                </c:pt>
                <c:pt idx="10">
                  <c:v>6.6666666666666666E-2</c:v>
                </c:pt>
                <c:pt idx="11">
                  <c:v>6.222222222222222E-2</c:v>
                </c:pt>
              </c:numCache>
            </c:numRef>
          </c:val>
          <c:smooth val="0"/>
          <c:extLst>
            <c:ext xmlns:c16="http://schemas.microsoft.com/office/drawing/2014/chart" uri="{C3380CC4-5D6E-409C-BE32-E72D297353CC}">
              <c16:uniqueId val="{00000001-7A59-490C-A0ED-E6ADE00D5F7B}"/>
            </c:ext>
          </c:extLst>
        </c:ser>
        <c:dLbls>
          <c:showLegendKey val="0"/>
          <c:showVal val="1"/>
          <c:showCatName val="0"/>
          <c:showSerName val="0"/>
          <c:showPercent val="0"/>
          <c:showBubbleSize val="0"/>
        </c:dLbls>
        <c:marker val="1"/>
        <c:smooth val="0"/>
        <c:axId val="1443330175"/>
        <c:axId val="1443336415"/>
      </c:lineChart>
      <c:catAx>
        <c:axId val="144334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341215"/>
        <c:crosses val="autoZero"/>
        <c:auto val="1"/>
        <c:lblAlgn val="ctr"/>
        <c:lblOffset val="100"/>
        <c:noMultiLvlLbl val="0"/>
      </c:catAx>
      <c:valAx>
        <c:axId val="1443341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340735"/>
        <c:crosses val="autoZero"/>
        <c:crossBetween val="between"/>
      </c:valAx>
      <c:valAx>
        <c:axId val="144333641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330175"/>
        <c:crosses val="max"/>
        <c:crossBetween val="between"/>
      </c:valAx>
      <c:catAx>
        <c:axId val="1443330175"/>
        <c:scaling>
          <c:orientation val="minMax"/>
        </c:scaling>
        <c:delete val="1"/>
        <c:axPos val="b"/>
        <c:numFmt formatCode="General" sourceLinked="1"/>
        <c:majorTickMark val="none"/>
        <c:minorTickMark val="none"/>
        <c:tickLblPos val="nextTo"/>
        <c:crossAx val="14433364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[SCALER.xlsx]BASE!PivotTable71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DAYS REQUIRED TO RESOLVE THE TICKET</a:t>
            </a:r>
            <a:endParaRPr lang="en-US"/>
          </a:p>
        </c:rich>
      </c:tx>
      <c:layout>
        <c:manualLayout>
          <c:xMode val="edge"/>
          <c:yMode val="edge"/>
          <c:x val="0.25950481722133717"/>
          <c:y val="1.97071783524307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2230971128609"/>
          <c:y val="0.21803477690288714"/>
          <c:w val="0.87847782936877039"/>
          <c:h val="0.68312794565977586"/>
        </c:manualLayout>
      </c:layout>
      <c:barChart>
        <c:barDir val="col"/>
        <c:grouping val="clustered"/>
        <c:varyColors val="0"/>
        <c:ser>
          <c:idx val="0"/>
          <c:order val="0"/>
          <c:tx>
            <c:strRef>
              <c:f>BASE!$EF$12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BASE!$EF$13</c:f>
              <c:strCache>
                <c:ptCount val="1"/>
                <c:pt idx="0">
                  <c:v>Total</c:v>
                </c:pt>
              </c:strCache>
            </c:strRef>
          </c:cat>
          <c:val>
            <c:numRef>
              <c:f>BASE!$EF$13</c:f>
              <c:numCache>
                <c:formatCode>0.00</c:formatCode>
                <c:ptCount val="1"/>
                <c:pt idx="0">
                  <c:v>6.7445569620253183</c:v>
                </c:pt>
              </c:numCache>
            </c:numRef>
          </c:val>
          <c:extLst>
            <c:ext xmlns:c16="http://schemas.microsoft.com/office/drawing/2014/chart" uri="{C3380CC4-5D6E-409C-BE32-E72D297353CC}">
              <c16:uniqueId val="{00000000-16FC-44AB-8315-F7288E437BB6}"/>
            </c:ext>
          </c:extLst>
        </c:ser>
        <c:dLbls>
          <c:dLblPos val="outEnd"/>
          <c:showLegendKey val="0"/>
          <c:showVal val="1"/>
          <c:showCatName val="0"/>
          <c:showSerName val="0"/>
          <c:showPercent val="0"/>
          <c:showBubbleSize val="0"/>
        </c:dLbls>
        <c:gapWidth val="219"/>
        <c:overlap val="-27"/>
        <c:axId val="1359069615"/>
        <c:axId val="1359068655"/>
      </c:barChart>
      <c:catAx>
        <c:axId val="1359069615"/>
        <c:scaling>
          <c:orientation val="minMax"/>
        </c:scaling>
        <c:delete val="1"/>
        <c:axPos val="b"/>
        <c:numFmt formatCode="General" sourceLinked="1"/>
        <c:majorTickMark val="none"/>
        <c:minorTickMark val="none"/>
        <c:tickLblPos val="nextTo"/>
        <c:crossAx val="1359068655"/>
        <c:crosses val="autoZero"/>
        <c:auto val="1"/>
        <c:lblAlgn val="ctr"/>
        <c:lblOffset val="100"/>
        <c:noMultiLvlLbl val="0"/>
      </c:catAx>
      <c:valAx>
        <c:axId val="13590686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06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[SCALER.xlsx]BASE!PivotTable70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TICKETS </a:t>
            </a:r>
            <a:endParaRPr lang="en-US"/>
          </a:p>
        </c:rich>
      </c:tx>
      <c:layout>
        <c:manualLayout>
          <c:xMode val="edge"/>
          <c:yMode val="edge"/>
          <c:x val="0.42856780178185311"/>
          <c:y val="4.24998298171126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70895304753572"/>
          <c:y val="0.25062500000000004"/>
          <c:w val="0.816994750656168"/>
          <c:h val="0.58133147419072617"/>
        </c:manualLayout>
      </c:layout>
      <c:barChart>
        <c:barDir val="col"/>
        <c:grouping val="clustered"/>
        <c:varyColors val="0"/>
        <c:ser>
          <c:idx val="0"/>
          <c:order val="0"/>
          <c:tx>
            <c:strRef>
              <c:f>BASE!$EG$6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BASE!$EF$7:$EF$9</c:f>
              <c:strCache>
                <c:ptCount val="2"/>
                <c:pt idx="0">
                  <c:v>Complete</c:v>
                </c:pt>
                <c:pt idx="1">
                  <c:v>Pending</c:v>
                </c:pt>
              </c:strCache>
            </c:strRef>
          </c:cat>
          <c:val>
            <c:numRef>
              <c:f>BASE!$EG$7:$EG$9</c:f>
              <c:numCache>
                <c:formatCode>General</c:formatCode>
                <c:ptCount val="2"/>
                <c:pt idx="0">
                  <c:v>166</c:v>
                </c:pt>
                <c:pt idx="1">
                  <c:v>59</c:v>
                </c:pt>
              </c:numCache>
            </c:numRef>
          </c:val>
          <c:extLst>
            <c:ext xmlns:c16="http://schemas.microsoft.com/office/drawing/2014/chart" uri="{C3380CC4-5D6E-409C-BE32-E72D297353CC}">
              <c16:uniqueId val="{00000000-08CE-4290-BFC8-E607DFBE06DD}"/>
            </c:ext>
          </c:extLst>
        </c:ser>
        <c:dLbls>
          <c:dLblPos val="outEnd"/>
          <c:showLegendKey val="0"/>
          <c:showVal val="1"/>
          <c:showCatName val="0"/>
          <c:showSerName val="0"/>
          <c:showPercent val="0"/>
          <c:showBubbleSize val="0"/>
        </c:dLbls>
        <c:gapWidth val="219"/>
        <c:overlap val="-27"/>
        <c:axId val="1408675552"/>
        <c:axId val="1408674592"/>
      </c:barChart>
      <c:catAx>
        <c:axId val="140867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674592"/>
        <c:crosses val="autoZero"/>
        <c:auto val="1"/>
        <c:lblAlgn val="ctr"/>
        <c:lblOffset val="100"/>
        <c:noMultiLvlLbl val="0"/>
      </c:catAx>
      <c:valAx>
        <c:axId val="1408674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67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[SCALER.xlsx]BASE!PivotTable72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TICKET VOLUME BY RESOLVE BUCKET IN 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63487897346165"/>
          <c:y val="0.19486111111111112"/>
          <c:w val="0.5729420384951881"/>
          <c:h val="0.72088764946048411"/>
        </c:manualLayout>
      </c:layout>
      <c:barChart>
        <c:barDir val="col"/>
        <c:grouping val="clustered"/>
        <c:varyColors val="0"/>
        <c:ser>
          <c:idx val="0"/>
          <c:order val="0"/>
          <c:tx>
            <c:strRef>
              <c:f>BASE!$EG$17:$EG$18</c:f>
              <c:strCache>
                <c:ptCount val="1"/>
                <c:pt idx="0">
                  <c:v>1-4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BASE!$EF$19</c:f>
              <c:strCache>
                <c:ptCount val="1"/>
                <c:pt idx="0">
                  <c:v>Total</c:v>
                </c:pt>
              </c:strCache>
            </c:strRef>
          </c:cat>
          <c:val>
            <c:numRef>
              <c:f>BASE!$EG$19</c:f>
              <c:numCache>
                <c:formatCode>General</c:formatCode>
                <c:ptCount val="1"/>
                <c:pt idx="0">
                  <c:v>39</c:v>
                </c:pt>
              </c:numCache>
            </c:numRef>
          </c:val>
          <c:extLst>
            <c:ext xmlns:c16="http://schemas.microsoft.com/office/drawing/2014/chart" uri="{C3380CC4-5D6E-409C-BE32-E72D297353CC}">
              <c16:uniqueId val="{00000000-3DA4-4ACC-9909-C88AEB521256}"/>
            </c:ext>
          </c:extLst>
        </c:ser>
        <c:ser>
          <c:idx val="1"/>
          <c:order val="1"/>
          <c:tx>
            <c:strRef>
              <c:f>BASE!$EH$17:$EH$18</c:f>
              <c:strCache>
                <c:ptCount val="1"/>
                <c:pt idx="0">
                  <c:v>5-8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BASE!$EF$19</c:f>
              <c:strCache>
                <c:ptCount val="1"/>
                <c:pt idx="0">
                  <c:v>Total</c:v>
                </c:pt>
              </c:strCache>
            </c:strRef>
          </c:cat>
          <c:val>
            <c:numRef>
              <c:f>BASE!$EH$19</c:f>
              <c:numCache>
                <c:formatCode>General</c:formatCode>
                <c:ptCount val="1"/>
                <c:pt idx="0">
                  <c:v>58</c:v>
                </c:pt>
              </c:numCache>
            </c:numRef>
          </c:val>
          <c:extLst>
            <c:ext xmlns:c16="http://schemas.microsoft.com/office/drawing/2014/chart" uri="{C3380CC4-5D6E-409C-BE32-E72D297353CC}">
              <c16:uniqueId val="{00000009-3DA4-4ACC-9909-C88AEB521256}"/>
            </c:ext>
          </c:extLst>
        </c:ser>
        <c:ser>
          <c:idx val="2"/>
          <c:order val="2"/>
          <c:tx>
            <c:strRef>
              <c:f>BASE!$EI$17:$EI$18</c:f>
              <c:strCache>
                <c:ptCount val="1"/>
                <c:pt idx="0">
                  <c:v>9-12 days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BASE!$EF$19</c:f>
              <c:strCache>
                <c:ptCount val="1"/>
                <c:pt idx="0">
                  <c:v>Total</c:v>
                </c:pt>
              </c:strCache>
            </c:strRef>
          </c:cat>
          <c:val>
            <c:numRef>
              <c:f>BASE!$EI$19</c:f>
              <c:numCache>
                <c:formatCode>General</c:formatCode>
                <c:ptCount val="1"/>
                <c:pt idx="0">
                  <c:v>61</c:v>
                </c:pt>
              </c:numCache>
            </c:numRef>
          </c:val>
          <c:extLst>
            <c:ext xmlns:c16="http://schemas.microsoft.com/office/drawing/2014/chart" uri="{C3380CC4-5D6E-409C-BE32-E72D297353CC}">
              <c16:uniqueId val="{0000000A-3DA4-4ACC-9909-C88AEB521256}"/>
            </c:ext>
          </c:extLst>
        </c:ser>
        <c:ser>
          <c:idx val="3"/>
          <c:order val="3"/>
          <c:tx>
            <c:strRef>
              <c:f>BASE!$EJ$17:$EJ$18</c:f>
              <c:strCache>
                <c:ptCount val="1"/>
                <c:pt idx="0">
                  <c:v>Issue_solved_date_absent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BASE!$EF$19</c:f>
              <c:strCache>
                <c:ptCount val="1"/>
                <c:pt idx="0">
                  <c:v>Total</c:v>
                </c:pt>
              </c:strCache>
            </c:strRef>
          </c:cat>
          <c:val>
            <c:numRef>
              <c:f>BASE!$EJ$19</c:f>
              <c:numCache>
                <c:formatCode>General</c:formatCode>
                <c:ptCount val="1"/>
                <c:pt idx="0">
                  <c:v>8</c:v>
                </c:pt>
              </c:numCache>
            </c:numRef>
          </c:val>
          <c:extLst>
            <c:ext xmlns:c16="http://schemas.microsoft.com/office/drawing/2014/chart" uri="{C3380CC4-5D6E-409C-BE32-E72D297353CC}">
              <c16:uniqueId val="{0000000B-3DA4-4ACC-9909-C88AEB521256}"/>
            </c:ext>
          </c:extLst>
        </c:ser>
        <c:dLbls>
          <c:dLblPos val="outEnd"/>
          <c:showLegendKey val="0"/>
          <c:showVal val="1"/>
          <c:showCatName val="0"/>
          <c:showSerName val="0"/>
          <c:showPercent val="0"/>
          <c:showBubbleSize val="0"/>
        </c:dLbls>
        <c:gapWidth val="219"/>
        <c:overlap val="-27"/>
        <c:axId val="1145855343"/>
        <c:axId val="1145857263"/>
      </c:barChart>
      <c:catAx>
        <c:axId val="114585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857263"/>
        <c:crosses val="autoZero"/>
        <c:auto val="1"/>
        <c:lblAlgn val="ctr"/>
        <c:lblOffset val="100"/>
        <c:noMultiLvlLbl val="0"/>
      </c:catAx>
      <c:valAx>
        <c:axId val="1145857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85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[SCALER.xlsx]BASE!PivotTable73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PENDING TICKETS ACROSS BUCKETS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4759405074368"/>
          <c:y val="0.1414967363001742"/>
          <c:w val="0.74455336832895891"/>
          <c:h val="0.77425227828170295"/>
        </c:manualLayout>
      </c:layout>
      <c:barChart>
        <c:barDir val="col"/>
        <c:grouping val="clustered"/>
        <c:varyColors val="0"/>
        <c:ser>
          <c:idx val="0"/>
          <c:order val="0"/>
          <c:tx>
            <c:strRef>
              <c:f>BASE!$EG$21:$EG$22</c:f>
              <c:strCache>
                <c:ptCount val="1"/>
                <c:pt idx="0">
                  <c:v>&gt;20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BASE!$EF$23</c:f>
              <c:strCache>
                <c:ptCount val="1"/>
                <c:pt idx="0">
                  <c:v>Total</c:v>
                </c:pt>
              </c:strCache>
            </c:strRef>
          </c:cat>
          <c:val>
            <c:numRef>
              <c:f>BASE!$EG$23</c:f>
              <c:numCache>
                <c:formatCode>General</c:formatCode>
                <c:ptCount val="1"/>
                <c:pt idx="0">
                  <c:v>40</c:v>
                </c:pt>
              </c:numCache>
            </c:numRef>
          </c:val>
          <c:extLst>
            <c:ext xmlns:c16="http://schemas.microsoft.com/office/drawing/2014/chart" uri="{C3380CC4-5D6E-409C-BE32-E72D297353CC}">
              <c16:uniqueId val="{00000000-B18A-4CEE-B39F-1F7795217647}"/>
            </c:ext>
          </c:extLst>
        </c:ser>
        <c:ser>
          <c:idx val="1"/>
          <c:order val="1"/>
          <c:tx>
            <c:strRef>
              <c:f>BASE!$EH$21:$EH$22</c:f>
              <c:strCache>
                <c:ptCount val="1"/>
                <c:pt idx="0">
                  <c:v>8-20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BASE!$EF$23</c:f>
              <c:strCache>
                <c:ptCount val="1"/>
                <c:pt idx="0">
                  <c:v>Total</c:v>
                </c:pt>
              </c:strCache>
            </c:strRef>
          </c:cat>
          <c:val>
            <c:numRef>
              <c:f>BASE!$EH$23</c:f>
              <c:numCache>
                <c:formatCode>General</c:formatCode>
                <c:ptCount val="1"/>
                <c:pt idx="0">
                  <c:v>19</c:v>
                </c:pt>
              </c:numCache>
            </c:numRef>
          </c:val>
          <c:extLst>
            <c:ext xmlns:c16="http://schemas.microsoft.com/office/drawing/2014/chart" uri="{C3380CC4-5D6E-409C-BE32-E72D297353CC}">
              <c16:uniqueId val="{00000005-B18A-4CEE-B39F-1F7795217647}"/>
            </c:ext>
          </c:extLst>
        </c:ser>
        <c:dLbls>
          <c:dLblPos val="outEnd"/>
          <c:showLegendKey val="0"/>
          <c:showVal val="1"/>
          <c:showCatName val="0"/>
          <c:showSerName val="0"/>
          <c:showPercent val="0"/>
          <c:showBubbleSize val="0"/>
        </c:dLbls>
        <c:gapWidth val="219"/>
        <c:overlap val="-27"/>
        <c:axId val="1118404239"/>
        <c:axId val="1118404719"/>
      </c:barChart>
      <c:catAx>
        <c:axId val="111840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404719"/>
        <c:crosses val="autoZero"/>
        <c:auto val="1"/>
        <c:lblAlgn val="ctr"/>
        <c:lblOffset val="100"/>
        <c:noMultiLvlLbl val="0"/>
      </c:catAx>
      <c:valAx>
        <c:axId val="1118404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40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TICKET DISTRIBUTION</a:t>
            </a:r>
            <a:r>
              <a:rPr lang="en-IN" baseline="0"/>
              <a:t> ACROSS PROGRAMMES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BASE!$EV$4:$EV$5</c:f>
              <c:strCache>
                <c:ptCount val="1"/>
                <c:pt idx="0">
                  <c:v>Complete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BASE!$EU$6:$EU$10</c:f>
              <c:strCache>
                <c:ptCount val="4"/>
                <c:pt idx="0">
                  <c:v>DSML</c:v>
                </c:pt>
                <c:pt idx="1">
                  <c:v>Academy</c:v>
                </c:pt>
                <c:pt idx="2">
                  <c:v>DevOps</c:v>
                </c:pt>
                <c:pt idx="3">
                  <c:v>AIML</c:v>
                </c:pt>
              </c:strCache>
            </c:strRef>
          </c:cat>
          <c:val>
            <c:numRef>
              <c:f>BASE!$EV$6:$EV$10</c:f>
              <c:numCache>
                <c:formatCode>General</c:formatCode>
                <c:ptCount val="4"/>
                <c:pt idx="0">
                  <c:v>45</c:v>
                </c:pt>
                <c:pt idx="1">
                  <c:v>46</c:v>
                </c:pt>
                <c:pt idx="2">
                  <c:v>37</c:v>
                </c:pt>
                <c:pt idx="3">
                  <c:v>38</c:v>
                </c:pt>
              </c:numCache>
            </c:numRef>
          </c:val>
          <c:extLst>
            <c:ext xmlns:c16="http://schemas.microsoft.com/office/drawing/2014/chart" uri="{C3380CC4-5D6E-409C-BE32-E72D297353CC}">
              <c16:uniqueId val="{00000000-4A76-4C0E-B63E-B1C3E9954C11}"/>
            </c:ext>
          </c:extLst>
        </c:ser>
        <c:ser>
          <c:idx val="1"/>
          <c:order val="1"/>
          <c:tx>
            <c:strRef>
              <c:f>BASE!$EW$4:$EW$5</c:f>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BASE!$EU$6:$EU$10</c:f>
              <c:strCache>
                <c:ptCount val="4"/>
                <c:pt idx="0">
                  <c:v>DSML</c:v>
                </c:pt>
                <c:pt idx="1">
                  <c:v>Academy</c:v>
                </c:pt>
                <c:pt idx="2">
                  <c:v>DevOps</c:v>
                </c:pt>
                <c:pt idx="3">
                  <c:v>AIML</c:v>
                </c:pt>
              </c:strCache>
            </c:strRef>
          </c:cat>
          <c:val>
            <c:numRef>
              <c:f>BASE!$EW$6:$EW$10</c:f>
              <c:numCache>
                <c:formatCode>General</c:formatCode>
                <c:ptCount val="4"/>
                <c:pt idx="0">
                  <c:v>18</c:v>
                </c:pt>
                <c:pt idx="1">
                  <c:v>17</c:v>
                </c:pt>
                <c:pt idx="2">
                  <c:v>15</c:v>
                </c:pt>
                <c:pt idx="3">
                  <c:v>9</c:v>
                </c:pt>
              </c:numCache>
            </c:numRef>
          </c:val>
          <c:extLst>
            <c:ext xmlns:c16="http://schemas.microsoft.com/office/drawing/2014/chart" uri="{C3380CC4-5D6E-409C-BE32-E72D297353CC}">
              <c16:uniqueId val="{00000001-4A76-4C0E-B63E-B1C3E9954C11}"/>
            </c:ext>
          </c:extLst>
        </c:ser>
        <c:dLbls>
          <c:dLblPos val="outEnd"/>
          <c:showLegendKey val="0"/>
          <c:showVal val="1"/>
          <c:showCatName val="0"/>
          <c:showSerName val="0"/>
          <c:showPercent val="0"/>
          <c:showBubbleSize val="0"/>
        </c:dLbls>
        <c:gapWidth val="219"/>
        <c:overlap val="-27"/>
        <c:axId val="711318960"/>
        <c:axId val="711315600"/>
      </c:barChart>
      <c:catAx>
        <c:axId val="71131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15600"/>
        <c:crosses val="autoZero"/>
        <c:auto val="1"/>
        <c:lblAlgn val="ctr"/>
        <c:lblOffset val="100"/>
        <c:noMultiLvlLbl val="0"/>
      </c:catAx>
      <c:valAx>
        <c:axId val="71131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1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PENDING TICKETS BY PROGRAM &amp; AGING BUCKET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BASE!$EV$22:$EV$23</c:f>
              <c:strCache>
                <c:ptCount val="1"/>
                <c:pt idx="0">
                  <c:v>&gt;20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BASE!$EU$24:$EU$28</c:f>
              <c:strCache>
                <c:ptCount val="4"/>
                <c:pt idx="0">
                  <c:v>DSML</c:v>
                </c:pt>
                <c:pt idx="1">
                  <c:v>Academy</c:v>
                </c:pt>
                <c:pt idx="2">
                  <c:v>DevOps</c:v>
                </c:pt>
                <c:pt idx="3">
                  <c:v>AIML</c:v>
                </c:pt>
              </c:strCache>
            </c:strRef>
          </c:cat>
          <c:val>
            <c:numRef>
              <c:f>BASE!$EV$24:$EV$28</c:f>
              <c:numCache>
                <c:formatCode>General</c:formatCode>
                <c:ptCount val="4"/>
                <c:pt idx="0">
                  <c:v>15</c:v>
                </c:pt>
                <c:pt idx="1">
                  <c:v>10</c:v>
                </c:pt>
                <c:pt idx="2">
                  <c:v>7</c:v>
                </c:pt>
                <c:pt idx="3">
                  <c:v>8</c:v>
                </c:pt>
              </c:numCache>
            </c:numRef>
          </c:val>
          <c:extLst>
            <c:ext xmlns:c16="http://schemas.microsoft.com/office/drawing/2014/chart" uri="{C3380CC4-5D6E-409C-BE32-E72D297353CC}">
              <c16:uniqueId val="{00000000-977C-4B0E-B057-782DEA515EC8}"/>
            </c:ext>
          </c:extLst>
        </c:ser>
        <c:ser>
          <c:idx val="1"/>
          <c:order val="1"/>
          <c:tx>
            <c:strRef>
              <c:f>BASE!$EW$22:$EW$23</c:f>
              <c:strCache>
                <c:ptCount val="1"/>
                <c:pt idx="0">
                  <c:v>8-20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BASE!$EU$24:$EU$28</c:f>
              <c:strCache>
                <c:ptCount val="4"/>
                <c:pt idx="0">
                  <c:v>DSML</c:v>
                </c:pt>
                <c:pt idx="1">
                  <c:v>Academy</c:v>
                </c:pt>
                <c:pt idx="2">
                  <c:v>DevOps</c:v>
                </c:pt>
                <c:pt idx="3">
                  <c:v>AIML</c:v>
                </c:pt>
              </c:strCache>
            </c:strRef>
          </c:cat>
          <c:val>
            <c:numRef>
              <c:f>BASE!$EW$24:$EW$28</c:f>
              <c:numCache>
                <c:formatCode>General</c:formatCode>
                <c:ptCount val="4"/>
                <c:pt idx="0">
                  <c:v>3</c:v>
                </c:pt>
                <c:pt idx="1">
                  <c:v>7</c:v>
                </c:pt>
                <c:pt idx="2">
                  <c:v>8</c:v>
                </c:pt>
                <c:pt idx="3">
                  <c:v>1</c:v>
                </c:pt>
              </c:numCache>
            </c:numRef>
          </c:val>
          <c:extLst>
            <c:ext xmlns:c16="http://schemas.microsoft.com/office/drawing/2014/chart" uri="{C3380CC4-5D6E-409C-BE32-E72D297353CC}">
              <c16:uniqueId val="{00000003-977C-4B0E-B057-782DEA515EC8}"/>
            </c:ext>
          </c:extLst>
        </c:ser>
        <c:dLbls>
          <c:dLblPos val="outEnd"/>
          <c:showLegendKey val="0"/>
          <c:showVal val="1"/>
          <c:showCatName val="0"/>
          <c:showSerName val="0"/>
          <c:showPercent val="0"/>
          <c:showBubbleSize val="0"/>
        </c:dLbls>
        <c:gapWidth val="182"/>
        <c:axId val="720932192"/>
        <c:axId val="720927872"/>
      </c:barChart>
      <c:catAx>
        <c:axId val="72093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927872"/>
        <c:crosses val="autoZero"/>
        <c:auto val="1"/>
        <c:lblAlgn val="ctr"/>
        <c:lblOffset val="100"/>
        <c:noMultiLvlLbl val="0"/>
      </c:catAx>
      <c:valAx>
        <c:axId val="72092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93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TICKET VOLUMN BY  PROGRAM &amp; RESOLUTION BUCKET IN DAYS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BASE!$EV$13:$EV$14</c:f>
              <c:strCache>
                <c:ptCount val="1"/>
                <c:pt idx="0">
                  <c:v>1-4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BASE!$EU$15:$EU$19</c:f>
              <c:strCache>
                <c:ptCount val="4"/>
                <c:pt idx="0">
                  <c:v>DSML</c:v>
                </c:pt>
                <c:pt idx="1">
                  <c:v>Academy</c:v>
                </c:pt>
                <c:pt idx="2">
                  <c:v>AIML</c:v>
                </c:pt>
                <c:pt idx="3">
                  <c:v>DevOps</c:v>
                </c:pt>
              </c:strCache>
            </c:strRef>
          </c:cat>
          <c:val>
            <c:numRef>
              <c:f>BASE!$EV$15:$EV$19</c:f>
              <c:numCache>
                <c:formatCode>General</c:formatCode>
                <c:ptCount val="4"/>
                <c:pt idx="0">
                  <c:v>11</c:v>
                </c:pt>
                <c:pt idx="1">
                  <c:v>11</c:v>
                </c:pt>
                <c:pt idx="2">
                  <c:v>8</c:v>
                </c:pt>
                <c:pt idx="3">
                  <c:v>9</c:v>
                </c:pt>
              </c:numCache>
            </c:numRef>
          </c:val>
          <c:extLst>
            <c:ext xmlns:c16="http://schemas.microsoft.com/office/drawing/2014/chart" uri="{C3380CC4-5D6E-409C-BE32-E72D297353CC}">
              <c16:uniqueId val="{00000000-FFDE-4D93-90F5-B60861BDD21B}"/>
            </c:ext>
          </c:extLst>
        </c:ser>
        <c:ser>
          <c:idx val="1"/>
          <c:order val="1"/>
          <c:tx>
            <c:strRef>
              <c:f>BASE!$EW$13:$EW$14</c:f>
              <c:strCache>
                <c:ptCount val="1"/>
                <c:pt idx="0">
                  <c:v>5-8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BASE!$EU$15:$EU$19</c:f>
              <c:strCache>
                <c:ptCount val="4"/>
                <c:pt idx="0">
                  <c:v>DSML</c:v>
                </c:pt>
                <c:pt idx="1">
                  <c:v>Academy</c:v>
                </c:pt>
                <c:pt idx="2">
                  <c:v>AIML</c:v>
                </c:pt>
                <c:pt idx="3">
                  <c:v>DevOps</c:v>
                </c:pt>
              </c:strCache>
            </c:strRef>
          </c:cat>
          <c:val>
            <c:numRef>
              <c:f>BASE!$EW$15:$EW$19</c:f>
              <c:numCache>
                <c:formatCode>General</c:formatCode>
                <c:ptCount val="4"/>
                <c:pt idx="0">
                  <c:v>15</c:v>
                </c:pt>
                <c:pt idx="1">
                  <c:v>16</c:v>
                </c:pt>
                <c:pt idx="2">
                  <c:v>16</c:v>
                </c:pt>
                <c:pt idx="3">
                  <c:v>11</c:v>
                </c:pt>
              </c:numCache>
            </c:numRef>
          </c:val>
          <c:extLst>
            <c:ext xmlns:c16="http://schemas.microsoft.com/office/drawing/2014/chart" uri="{C3380CC4-5D6E-409C-BE32-E72D297353CC}">
              <c16:uniqueId val="{00000001-FFDE-4D93-90F5-B60861BDD21B}"/>
            </c:ext>
          </c:extLst>
        </c:ser>
        <c:ser>
          <c:idx val="2"/>
          <c:order val="2"/>
          <c:tx>
            <c:strRef>
              <c:f>BASE!$EX$13:$EX$14</c:f>
              <c:strCache>
                <c:ptCount val="1"/>
                <c:pt idx="0">
                  <c:v>9-12 days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BASE!$EU$15:$EU$19</c:f>
              <c:strCache>
                <c:ptCount val="4"/>
                <c:pt idx="0">
                  <c:v>DSML</c:v>
                </c:pt>
                <c:pt idx="1">
                  <c:v>Academy</c:v>
                </c:pt>
                <c:pt idx="2">
                  <c:v>AIML</c:v>
                </c:pt>
                <c:pt idx="3">
                  <c:v>DevOps</c:v>
                </c:pt>
              </c:strCache>
            </c:strRef>
          </c:cat>
          <c:val>
            <c:numRef>
              <c:f>BASE!$EX$15:$EX$19</c:f>
              <c:numCache>
                <c:formatCode>General</c:formatCode>
                <c:ptCount val="4"/>
                <c:pt idx="0">
                  <c:v>18</c:v>
                </c:pt>
                <c:pt idx="1">
                  <c:v>13</c:v>
                </c:pt>
                <c:pt idx="2">
                  <c:v>14</c:v>
                </c:pt>
                <c:pt idx="3">
                  <c:v>16</c:v>
                </c:pt>
              </c:numCache>
            </c:numRef>
          </c:val>
          <c:extLst>
            <c:ext xmlns:c16="http://schemas.microsoft.com/office/drawing/2014/chart" uri="{C3380CC4-5D6E-409C-BE32-E72D297353CC}">
              <c16:uniqueId val="{00000002-FFDE-4D93-90F5-B60861BDD21B}"/>
            </c:ext>
          </c:extLst>
        </c:ser>
        <c:dLbls>
          <c:dLblPos val="outEnd"/>
          <c:showLegendKey val="0"/>
          <c:showVal val="1"/>
          <c:showCatName val="0"/>
          <c:showSerName val="0"/>
          <c:showPercent val="0"/>
          <c:showBubbleSize val="0"/>
        </c:dLbls>
        <c:gapWidth val="182"/>
        <c:axId val="559387616"/>
        <c:axId val="559387136"/>
      </c:barChart>
      <c:catAx>
        <c:axId val="55938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87136"/>
        <c:crosses val="autoZero"/>
        <c:auto val="1"/>
        <c:lblAlgn val="ctr"/>
        <c:lblOffset val="100"/>
        <c:noMultiLvlLbl val="0"/>
      </c:catAx>
      <c:valAx>
        <c:axId val="559387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8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RESOLUTION TIME ACROSS PROGRAMMES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BASE!$EV$30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BASE!$EU$31:$EU$35</c:f>
              <c:strCache>
                <c:ptCount val="4"/>
                <c:pt idx="0">
                  <c:v>DevOps</c:v>
                </c:pt>
                <c:pt idx="1">
                  <c:v>AIML</c:v>
                </c:pt>
                <c:pt idx="2">
                  <c:v>DSML</c:v>
                </c:pt>
                <c:pt idx="3">
                  <c:v>Academy</c:v>
                </c:pt>
              </c:strCache>
            </c:strRef>
          </c:cat>
          <c:val>
            <c:numRef>
              <c:f>BASE!$EV$31:$EV$35</c:f>
              <c:numCache>
                <c:formatCode>0.00</c:formatCode>
                <c:ptCount val="4"/>
                <c:pt idx="0">
                  <c:v>7.1947222222222216</c:v>
                </c:pt>
                <c:pt idx="1">
                  <c:v>6.897368421052632</c:v>
                </c:pt>
                <c:pt idx="2">
                  <c:v>6.871363636363637</c:v>
                </c:pt>
                <c:pt idx="3">
                  <c:v>6.0547500000000003</c:v>
                </c:pt>
              </c:numCache>
            </c:numRef>
          </c:val>
          <c:extLst>
            <c:ext xmlns:c16="http://schemas.microsoft.com/office/drawing/2014/chart" uri="{C3380CC4-5D6E-409C-BE32-E72D297353CC}">
              <c16:uniqueId val="{00000000-FDAD-4316-928D-10084596D77D}"/>
            </c:ext>
          </c:extLst>
        </c:ser>
        <c:dLbls>
          <c:dLblPos val="outEnd"/>
          <c:showLegendKey val="0"/>
          <c:showVal val="1"/>
          <c:showCatName val="0"/>
          <c:showSerName val="0"/>
          <c:showPercent val="0"/>
          <c:showBubbleSize val="0"/>
        </c:dLbls>
        <c:gapWidth val="219"/>
        <c:overlap val="-27"/>
        <c:axId val="717424976"/>
        <c:axId val="717424496"/>
      </c:barChart>
      <c:catAx>
        <c:axId val="71742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24496"/>
        <c:crosses val="autoZero"/>
        <c:auto val="1"/>
        <c:lblAlgn val="ctr"/>
        <c:lblOffset val="100"/>
        <c:noMultiLvlLbl val="0"/>
      </c:catAx>
      <c:valAx>
        <c:axId val="7174244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2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TICKET Volume ACROSS ISSUE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BASE!$BA$2:$BA$3</c:f>
              <c:strCache>
                <c:ptCount val="1"/>
                <c:pt idx="0">
                  <c:v>Complete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BASE!$AZ$4:$AZ$8</c:f>
              <c:strCache>
                <c:ptCount val="4"/>
                <c:pt idx="0">
                  <c:v>Program &amp; Classroom (NPS)</c:v>
                </c:pt>
                <c:pt idx="1">
                  <c:v>Placement (NPS)</c:v>
                </c:pt>
                <c:pt idx="2">
                  <c:v>Others (NPS)</c:v>
                </c:pt>
                <c:pt idx="3">
                  <c:v>Tech (NPS)</c:v>
                </c:pt>
              </c:strCache>
            </c:strRef>
          </c:cat>
          <c:val>
            <c:numRef>
              <c:f>BASE!$BA$4:$BA$8</c:f>
              <c:numCache>
                <c:formatCode>General</c:formatCode>
                <c:ptCount val="4"/>
                <c:pt idx="0">
                  <c:v>62</c:v>
                </c:pt>
                <c:pt idx="1">
                  <c:v>57</c:v>
                </c:pt>
                <c:pt idx="2">
                  <c:v>27</c:v>
                </c:pt>
                <c:pt idx="3">
                  <c:v>20</c:v>
                </c:pt>
              </c:numCache>
            </c:numRef>
          </c:val>
          <c:extLst>
            <c:ext xmlns:c16="http://schemas.microsoft.com/office/drawing/2014/chart" uri="{C3380CC4-5D6E-409C-BE32-E72D297353CC}">
              <c16:uniqueId val="{00000000-4901-488E-A7A4-22C025597582}"/>
            </c:ext>
          </c:extLst>
        </c:ser>
        <c:ser>
          <c:idx val="1"/>
          <c:order val="1"/>
          <c:tx>
            <c:strRef>
              <c:f>BASE!$BB$2:$BB$3</c:f>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BASE!$AZ$4:$AZ$8</c:f>
              <c:strCache>
                <c:ptCount val="4"/>
                <c:pt idx="0">
                  <c:v>Program &amp; Classroom (NPS)</c:v>
                </c:pt>
                <c:pt idx="1">
                  <c:v>Placement (NPS)</c:v>
                </c:pt>
                <c:pt idx="2">
                  <c:v>Others (NPS)</c:v>
                </c:pt>
                <c:pt idx="3">
                  <c:v>Tech (NPS)</c:v>
                </c:pt>
              </c:strCache>
            </c:strRef>
          </c:cat>
          <c:val>
            <c:numRef>
              <c:f>BASE!$BB$4:$BB$8</c:f>
              <c:numCache>
                <c:formatCode>General</c:formatCode>
                <c:ptCount val="4"/>
                <c:pt idx="0">
                  <c:v>18</c:v>
                </c:pt>
                <c:pt idx="1">
                  <c:v>21</c:v>
                </c:pt>
                <c:pt idx="2">
                  <c:v>10</c:v>
                </c:pt>
                <c:pt idx="3">
                  <c:v>10</c:v>
                </c:pt>
              </c:numCache>
            </c:numRef>
          </c:val>
          <c:extLst>
            <c:ext xmlns:c16="http://schemas.microsoft.com/office/drawing/2014/chart" uri="{C3380CC4-5D6E-409C-BE32-E72D297353CC}">
              <c16:uniqueId val="{00000001-4901-488E-A7A4-22C025597582}"/>
            </c:ext>
          </c:extLst>
        </c:ser>
        <c:dLbls>
          <c:dLblPos val="outEnd"/>
          <c:showLegendKey val="0"/>
          <c:showVal val="1"/>
          <c:showCatName val="0"/>
          <c:showSerName val="0"/>
          <c:showPercent val="0"/>
          <c:showBubbleSize val="0"/>
        </c:dLbls>
        <c:gapWidth val="219"/>
        <c:overlap val="-27"/>
        <c:axId val="441377264"/>
        <c:axId val="550262848"/>
      </c:barChart>
      <c:catAx>
        <c:axId val="44137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62848"/>
        <c:crosses val="autoZero"/>
        <c:auto val="1"/>
        <c:lblAlgn val="ctr"/>
        <c:lblOffset val="100"/>
        <c:noMultiLvlLbl val="0"/>
      </c:catAx>
      <c:valAx>
        <c:axId val="550262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7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TICKET VOLUMN BY  ISSUE CATEGORY &amp; RESOLUTION BUCKET IN DAYS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BASE!$BA$12:$BA$13</c:f>
              <c:strCache>
                <c:ptCount val="1"/>
                <c:pt idx="0">
                  <c:v>1-4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BASE!$AZ$14:$AZ$18</c:f>
              <c:strCache>
                <c:ptCount val="4"/>
                <c:pt idx="0">
                  <c:v>Program &amp; Classroom (NPS)</c:v>
                </c:pt>
                <c:pt idx="1">
                  <c:v>Placement (NPS)</c:v>
                </c:pt>
                <c:pt idx="2">
                  <c:v>Others (NPS)</c:v>
                </c:pt>
                <c:pt idx="3">
                  <c:v>Tech (NPS)</c:v>
                </c:pt>
              </c:strCache>
            </c:strRef>
          </c:cat>
          <c:val>
            <c:numRef>
              <c:f>BASE!$BA$14:$BA$18</c:f>
              <c:numCache>
                <c:formatCode>General</c:formatCode>
                <c:ptCount val="4"/>
                <c:pt idx="0">
                  <c:v>19</c:v>
                </c:pt>
                <c:pt idx="1">
                  <c:v>11</c:v>
                </c:pt>
                <c:pt idx="2">
                  <c:v>3</c:v>
                </c:pt>
                <c:pt idx="3">
                  <c:v>6</c:v>
                </c:pt>
              </c:numCache>
            </c:numRef>
          </c:val>
          <c:extLst>
            <c:ext xmlns:c16="http://schemas.microsoft.com/office/drawing/2014/chart" uri="{C3380CC4-5D6E-409C-BE32-E72D297353CC}">
              <c16:uniqueId val="{00000000-CBFD-4AC9-8C25-AEADC5197EFB}"/>
            </c:ext>
          </c:extLst>
        </c:ser>
        <c:ser>
          <c:idx val="1"/>
          <c:order val="1"/>
          <c:tx>
            <c:strRef>
              <c:f>BASE!$BB$12:$BB$13</c:f>
              <c:strCache>
                <c:ptCount val="1"/>
                <c:pt idx="0">
                  <c:v>5-8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BASE!$AZ$14:$AZ$18</c:f>
              <c:strCache>
                <c:ptCount val="4"/>
                <c:pt idx="0">
                  <c:v>Program &amp; Classroom (NPS)</c:v>
                </c:pt>
                <c:pt idx="1">
                  <c:v>Placement (NPS)</c:v>
                </c:pt>
                <c:pt idx="2">
                  <c:v>Others (NPS)</c:v>
                </c:pt>
                <c:pt idx="3">
                  <c:v>Tech (NPS)</c:v>
                </c:pt>
              </c:strCache>
            </c:strRef>
          </c:cat>
          <c:val>
            <c:numRef>
              <c:f>BASE!$BB$14:$BB$18</c:f>
              <c:numCache>
                <c:formatCode>General</c:formatCode>
                <c:ptCount val="4"/>
                <c:pt idx="0">
                  <c:v>19</c:v>
                </c:pt>
                <c:pt idx="1">
                  <c:v>20</c:v>
                </c:pt>
                <c:pt idx="2">
                  <c:v>11</c:v>
                </c:pt>
                <c:pt idx="3">
                  <c:v>8</c:v>
                </c:pt>
              </c:numCache>
            </c:numRef>
          </c:val>
          <c:extLst>
            <c:ext xmlns:c16="http://schemas.microsoft.com/office/drawing/2014/chart" uri="{C3380CC4-5D6E-409C-BE32-E72D297353CC}">
              <c16:uniqueId val="{00000001-CBFD-4AC9-8C25-AEADC5197EFB}"/>
            </c:ext>
          </c:extLst>
        </c:ser>
        <c:ser>
          <c:idx val="2"/>
          <c:order val="2"/>
          <c:tx>
            <c:strRef>
              <c:f>BASE!$BC$12:$BC$13</c:f>
              <c:strCache>
                <c:ptCount val="1"/>
                <c:pt idx="0">
                  <c:v>9-12 days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BASE!$AZ$14:$AZ$18</c:f>
              <c:strCache>
                <c:ptCount val="4"/>
                <c:pt idx="0">
                  <c:v>Program &amp; Classroom (NPS)</c:v>
                </c:pt>
                <c:pt idx="1">
                  <c:v>Placement (NPS)</c:v>
                </c:pt>
                <c:pt idx="2">
                  <c:v>Others (NPS)</c:v>
                </c:pt>
                <c:pt idx="3">
                  <c:v>Tech (NPS)</c:v>
                </c:pt>
              </c:strCache>
            </c:strRef>
          </c:cat>
          <c:val>
            <c:numRef>
              <c:f>BASE!$BC$14:$BC$18</c:f>
              <c:numCache>
                <c:formatCode>General</c:formatCode>
                <c:ptCount val="4"/>
                <c:pt idx="0">
                  <c:v>22</c:v>
                </c:pt>
                <c:pt idx="1">
                  <c:v>22</c:v>
                </c:pt>
                <c:pt idx="2">
                  <c:v>12</c:v>
                </c:pt>
                <c:pt idx="3">
                  <c:v>5</c:v>
                </c:pt>
              </c:numCache>
            </c:numRef>
          </c:val>
          <c:extLst>
            <c:ext xmlns:c16="http://schemas.microsoft.com/office/drawing/2014/chart" uri="{C3380CC4-5D6E-409C-BE32-E72D297353CC}">
              <c16:uniqueId val="{00000002-CBFD-4AC9-8C25-AEADC5197EFB}"/>
            </c:ext>
          </c:extLst>
        </c:ser>
        <c:dLbls>
          <c:dLblPos val="outEnd"/>
          <c:showLegendKey val="0"/>
          <c:showVal val="1"/>
          <c:showCatName val="0"/>
          <c:showSerName val="0"/>
          <c:showPercent val="0"/>
          <c:showBubbleSize val="0"/>
        </c:dLbls>
        <c:gapWidth val="182"/>
        <c:axId val="939147600"/>
        <c:axId val="939148560"/>
      </c:barChart>
      <c:catAx>
        <c:axId val="93914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148560"/>
        <c:crosses val="autoZero"/>
        <c:auto val="1"/>
        <c:lblAlgn val="ctr"/>
        <c:lblOffset val="100"/>
        <c:noMultiLvlLbl val="0"/>
      </c:catAx>
      <c:valAx>
        <c:axId val="93914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14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RESOLUTION TIME IN DAYS ACROSS ISSUE CATEGORY</a:t>
            </a:r>
          </a:p>
        </c:rich>
      </c:tx>
      <c:layout>
        <c:manualLayout>
          <c:xMode val="edge"/>
          <c:yMode val="edge"/>
          <c:x val="0.17467048238520244"/>
          <c:y val="1.43799685905252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BASE!$BA$31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BASE!$AZ$32:$AZ$36</c:f>
              <c:strCache>
                <c:ptCount val="4"/>
                <c:pt idx="0">
                  <c:v>Others (NPS)</c:v>
                </c:pt>
                <c:pt idx="1">
                  <c:v>Placement (NPS)</c:v>
                </c:pt>
                <c:pt idx="2">
                  <c:v>Program &amp; Classroom (NPS)</c:v>
                </c:pt>
                <c:pt idx="3">
                  <c:v>Tech (NPS)</c:v>
                </c:pt>
              </c:strCache>
            </c:strRef>
          </c:cat>
          <c:val>
            <c:numRef>
              <c:f>BASE!$BA$32:$BA$36</c:f>
              <c:numCache>
                <c:formatCode>0.00</c:formatCode>
                <c:ptCount val="4"/>
                <c:pt idx="0">
                  <c:v>7.4930769230769236</c:v>
                </c:pt>
                <c:pt idx="1">
                  <c:v>6.8988679245283029</c:v>
                </c:pt>
                <c:pt idx="2">
                  <c:v>6.4669999999999996</c:v>
                </c:pt>
                <c:pt idx="3">
                  <c:v>6.1663157894736838</c:v>
                </c:pt>
              </c:numCache>
            </c:numRef>
          </c:val>
          <c:extLst>
            <c:ext xmlns:c16="http://schemas.microsoft.com/office/drawing/2014/chart" uri="{C3380CC4-5D6E-409C-BE32-E72D297353CC}">
              <c16:uniqueId val="{00000000-22CC-4C4D-9B4D-90C84E63E67F}"/>
            </c:ext>
          </c:extLst>
        </c:ser>
        <c:dLbls>
          <c:dLblPos val="outEnd"/>
          <c:showLegendKey val="0"/>
          <c:showVal val="1"/>
          <c:showCatName val="0"/>
          <c:showSerName val="0"/>
          <c:showPercent val="0"/>
          <c:showBubbleSize val="0"/>
        </c:dLbls>
        <c:gapWidth val="219"/>
        <c:overlap val="-27"/>
        <c:axId val="933319904"/>
        <c:axId val="933322304"/>
      </c:barChart>
      <c:catAx>
        <c:axId val="93331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22304"/>
        <c:crosses val="autoZero"/>
        <c:auto val="1"/>
        <c:lblAlgn val="ctr"/>
        <c:lblOffset val="100"/>
        <c:noMultiLvlLbl val="0"/>
      </c:catAx>
      <c:valAx>
        <c:axId val="9333223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1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PENDING TICKETS</a:t>
            </a:r>
            <a:r>
              <a:rPr lang="en-IN" baseline="0"/>
              <a:t> BY ISSUE CAT &amp; AGING BUCKET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79070449269097"/>
          <c:y val="8.0195880015597146E-2"/>
          <c:w val="0.47831272708319306"/>
          <c:h val="0.82858998909146597"/>
        </c:manualLayout>
      </c:layout>
      <c:barChart>
        <c:barDir val="bar"/>
        <c:grouping val="clustered"/>
        <c:varyColors val="0"/>
        <c:ser>
          <c:idx val="0"/>
          <c:order val="0"/>
          <c:tx>
            <c:strRef>
              <c:f>BASE!$BA$22:$BA$23</c:f>
              <c:strCache>
                <c:ptCount val="1"/>
                <c:pt idx="0">
                  <c:v>&gt;20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BASE!$AZ$24:$AZ$28</c:f>
              <c:strCache>
                <c:ptCount val="4"/>
                <c:pt idx="0">
                  <c:v>Placement (NPS)</c:v>
                </c:pt>
                <c:pt idx="1">
                  <c:v>Program &amp; Classroom (NPS)</c:v>
                </c:pt>
                <c:pt idx="2">
                  <c:v>Tech (NPS)</c:v>
                </c:pt>
                <c:pt idx="3">
                  <c:v>Others (NPS)</c:v>
                </c:pt>
              </c:strCache>
            </c:strRef>
          </c:cat>
          <c:val>
            <c:numRef>
              <c:f>BASE!$BA$24:$BA$28</c:f>
              <c:numCache>
                <c:formatCode>General</c:formatCode>
                <c:ptCount val="4"/>
                <c:pt idx="0">
                  <c:v>15</c:v>
                </c:pt>
                <c:pt idx="1">
                  <c:v>14</c:v>
                </c:pt>
                <c:pt idx="2">
                  <c:v>4</c:v>
                </c:pt>
                <c:pt idx="3">
                  <c:v>7</c:v>
                </c:pt>
              </c:numCache>
            </c:numRef>
          </c:val>
          <c:extLst>
            <c:ext xmlns:c16="http://schemas.microsoft.com/office/drawing/2014/chart" uri="{C3380CC4-5D6E-409C-BE32-E72D297353CC}">
              <c16:uniqueId val="{00000000-D27C-44BE-A828-755B3DBB26BE}"/>
            </c:ext>
          </c:extLst>
        </c:ser>
        <c:ser>
          <c:idx val="1"/>
          <c:order val="1"/>
          <c:tx>
            <c:strRef>
              <c:f>BASE!$BB$22:$BB$23</c:f>
              <c:strCache>
                <c:ptCount val="1"/>
                <c:pt idx="0">
                  <c:v>8-20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BASE!$AZ$24:$AZ$28</c:f>
              <c:strCache>
                <c:ptCount val="4"/>
                <c:pt idx="0">
                  <c:v>Placement (NPS)</c:v>
                </c:pt>
                <c:pt idx="1">
                  <c:v>Program &amp; Classroom (NPS)</c:v>
                </c:pt>
                <c:pt idx="2">
                  <c:v>Tech (NPS)</c:v>
                </c:pt>
                <c:pt idx="3">
                  <c:v>Others (NPS)</c:v>
                </c:pt>
              </c:strCache>
            </c:strRef>
          </c:cat>
          <c:val>
            <c:numRef>
              <c:f>BASE!$BB$24:$BB$28</c:f>
              <c:numCache>
                <c:formatCode>General</c:formatCode>
                <c:ptCount val="4"/>
                <c:pt idx="0">
                  <c:v>6</c:v>
                </c:pt>
                <c:pt idx="1">
                  <c:v>4</c:v>
                </c:pt>
                <c:pt idx="2">
                  <c:v>6</c:v>
                </c:pt>
                <c:pt idx="3">
                  <c:v>3</c:v>
                </c:pt>
              </c:numCache>
            </c:numRef>
          </c:val>
          <c:extLst>
            <c:ext xmlns:c16="http://schemas.microsoft.com/office/drawing/2014/chart" uri="{C3380CC4-5D6E-409C-BE32-E72D297353CC}">
              <c16:uniqueId val="{0000000A-D27C-44BE-A828-755B3DBB26BE}"/>
            </c:ext>
          </c:extLst>
        </c:ser>
        <c:dLbls>
          <c:dLblPos val="outEnd"/>
          <c:showLegendKey val="0"/>
          <c:showVal val="1"/>
          <c:showCatName val="0"/>
          <c:showSerName val="0"/>
          <c:showPercent val="0"/>
          <c:showBubbleSize val="0"/>
        </c:dLbls>
        <c:gapWidth val="182"/>
        <c:axId val="716389072"/>
        <c:axId val="716388592"/>
      </c:barChart>
      <c:catAx>
        <c:axId val="71638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388592"/>
        <c:crosses val="autoZero"/>
        <c:auto val="1"/>
        <c:lblAlgn val="ctr"/>
        <c:lblOffset val="100"/>
        <c:noMultiLvlLbl val="0"/>
      </c:catAx>
      <c:valAx>
        <c:axId val="716388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38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TICKET VOLUME</a:t>
            </a:r>
            <a:r>
              <a:rPr lang="en-IN" baseline="0"/>
              <a:t> ACROSS ISSUE TYPE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BASE!$BA$48:$BA$49</c:f>
              <c:strCache>
                <c:ptCount val="1"/>
                <c:pt idx="0">
                  <c:v>Complete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BASE!$AZ$50:$AZ$64</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BASE!$BA$50:$BA$64</c:f>
              <c:numCache>
                <c:formatCode>General</c:formatCode>
                <c:ptCount val="14"/>
                <c:pt idx="0">
                  <c:v>14</c:v>
                </c:pt>
                <c:pt idx="1">
                  <c:v>14</c:v>
                </c:pt>
                <c:pt idx="2">
                  <c:v>9</c:v>
                </c:pt>
                <c:pt idx="3">
                  <c:v>16</c:v>
                </c:pt>
                <c:pt idx="4">
                  <c:v>13</c:v>
                </c:pt>
                <c:pt idx="5">
                  <c:v>14</c:v>
                </c:pt>
                <c:pt idx="6">
                  <c:v>11</c:v>
                </c:pt>
                <c:pt idx="7">
                  <c:v>12</c:v>
                </c:pt>
                <c:pt idx="8">
                  <c:v>11</c:v>
                </c:pt>
                <c:pt idx="9">
                  <c:v>9</c:v>
                </c:pt>
                <c:pt idx="10">
                  <c:v>9</c:v>
                </c:pt>
                <c:pt idx="11">
                  <c:v>12</c:v>
                </c:pt>
                <c:pt idx="12">
                  <c:v>12</c:v>
                </c:pt>
                <c:pt idx="13">
                  <c:v>10</c:v>
                </c:pt>
              </c:numCache>
            </c:numRef>
          </c:val>
          <c:extLst>
            <c:ext xmlns:c16="http://schemas.microsoft.com/office/drawing/2014/chart" uri="{C3380CC4-5D6E-409C-BE32-E72D297353CC}">
              <c16:uniqueId val="{00000000-1656-4AF1-9BD9-3E087E1FC0BA}"/>
            </c:ext>
          </c:extLst>
        </c:ser>
        <c:ser>
          <c:idx val="1"/>
          <c:order val="1"/>
          <c:tx>
            <c:strRef>
              <c:f>BASE!$BB$48:$BB$49</c:f>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BASE!$AZ$50:$AZ$64</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BASE!$BB$50:$BB$64</c:f>
              <c:numCache>
                <c:formatCode>General</c:formatCode>
                <c:ptCount val="14"/>
                <c:pt idx="0">
                  <c:v>7</c:v>
                </c:pt>
                <c:pt idx="1">
                  <c:v>5</c:v>
                </c:pt>
                <c:pt idx="2">
                  <c:v>9</c:v>
                </c:pt>
                <c:pt idx="3">
                  <c:v>2</c:v>
                </c:pt>
                <c:pt idx="4">
                  <c:v>5</c:v>
                </c:pt>
                <c:pt idx="5">
                  <c:v>3</c:v>
                </c:pt>
                <c:pt idx="6">
                  <c:v>5</c:v>
                </c:pt>
                <c:pt idx="7">
                  <c:v>4</c:v>
                </c:pt>
                <c:pt idx="8">
                  <c:v>5</c:v>
                </c:pt>
                <c:pt idx="9">
                  <c:v>5</c:v>
                </c:pt>
                <c:pt idx="10">
                  <c:v>5</c:v>
                </c:pt>
                <c:pt idx="11">
                  <c:v>2</c:v>
                </c:pt>
                <c:pt idx="12">
                  <c:v>2</c:v>
                </c:pt>
              </c:numCache>
            </c:numRef>
          </c:val>
          <c:extLst>
            <c:ext xmlns:c16="http://schemas.microsoft.com/office/drawing/2014/chart" uri="{C3380CC4-5D6E-409C-BE32-E72D297353CC}">
              <c16:uniqueId val="{00000004-1656-4AF1-9BD9-3E087E1FC0BA}"/>
            </c:ext>
          </c:extLst>
        </c:ser>
        <c:dLbls>
          <c:dLblPos val="outEnd"/>
          <c:showLegendKey val="0"/>
          <c:showVal val="1"/>
          <c:showCatName val="0"/>
          <c:showSerName val="0"/>
          <c:showPercent val="0"/>
          <c:showBubbleSize val="0"/>
        </c:dLbls>
        <c:gapWidth val="219"/>
        <c:overlap val="-27"/>
        <c:axId val="722490400"/>
        <c:axId val="722506240"/>
      </c:barChart>
      <c:catAx>
        <c:axId val="72249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06240"/>
        <c:crosses val="autoZero"/>
        <c:auto val="1"/>
        <c:lblAlgn val="ctr"/>
        <c:lblOffset val="100"/>
        <c:noMultiLvlLbl val="0"/>
      </c:catAx>
      <c:valAx>
        <c:axId val="722506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9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BASE!$BA$67:$BA$68</c:f>
              <c:strCache>
                <c:ptCount val="1"/>
                <c:pt idx="0">
                  <c:v>1-4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BASE!$AZ$69:$AZ$83</c:f>
              <c:strCache>
                <c:ptCount val="14"/>
                <c:pt idx="0">
                  <c:v>False Promise By Sales Team (NPS)</c:v>
                </c:pt>
                <c:pt idx="1">
                  <c:v>Applied for jobs but no satisfactory outcome (NPS)</c:v>
                </c:pt>
                <c:pt idx="2">
                  <c:v>Time Management Related Concerns (NPS)</c:v>
                </c:pt>
                <c:pt idx="3">
                  <c:v>TA Support Related Concerns (NPS)</c:v>
                </c:pt>
                <c:pt idx="4">
                  <c:v>Poor Class video quality (NPS)</c:v>
                </c:pt>
                <c:pt idx="5">
                  <c:v>Looking For Career Guidance (NPS)</c:v>
                </c:pt>
                <c:pt idx="6">
                  <c:v>Unhappy With The Class Timings (NPS)</c:v>
                </c:pt>
                <c:pt idx="7">
                  <c:v>Lecture Notes Related (NPS)</c:v>
                </c:pt>
                <c:pt idx="8">
                  <c:v>Mentor Support Related Concerns (NPS)</c:v>
                </c:pt>
                <c:pt idx="9">
                  <c:v>Unhappy With Course Curriculum (NPS)</c:v>
                </c:pt>
                <c:pt idx="10">
                  <c:v>Frequent Resume Rejection (NPS)</c:v>
                </c:pt>
                <c:pt idx="11">
                  <c:v>Instructor Related Feedback (NPS)</c:v>
                </c:pt>
                <c:pt idx="12">
                  <c:v>Not eligible for placements (NPS)</c:v>
                </c:pt>
                <c:pt idx="13">
                  <c:v>Projects &amp; Assignment Related Concern (NPS)</c:v>
                </c:pt>
              </c:strCache>
            </c:strRef>
          </c:cat>
          <c:val>
            <c:numRef>
              <c:f>BASE!$BA$69:$BA$83</c:f>
              <c:numCache>
                <c:formatCode>General</c:formatCode>
                <c:ptCount val="14"/>
                <c:pt idx="0">
                  <c:v>4</c:v>
                </c:pt>
                <c:pt idx="1">
                  <c:v>5</c:v>
                </c:pt>
                <c:pt idx="2">
                  <c:v>1</c:v>
                </c:pt>
                <c:pt idx="3">
                  <c:v>3</c:v>
                </c:pt>
                <c:pt idx="4">
                  <c:v>3</c:v>
                </c:pt>
                <c:pt idx="5">
                  <c:v>2</c:v>
                </c:pt>
                <c:pt idx="6">
                  <c:v>4</c:v>
                </c:pt>
                <c:pt idx="7">
                  <c:v>6</c:v>
                </c:pt>
                <c:pt idx="8">
                  <c:v>1</c:v>
                </c:pt>
                <c:pt idx="9">
                  <c:v>4</c:v>
                </c:pt>
                <c:pt idx="10">
                  <c:v>1</c:v>
                </c:pt>
                <c:pt idx="11">
                  <c:v>1</c:v>
                </c:pt>
                <c:pt idx="12">
                  <c:v>1</c:v>
                </c:pt>
                <c:pt idx="13">
                  <c:v>3</c:v>
                </c:pt>
              </c:numCache>
            </c:numRef>
          </c:val>
          <c:extLst>
            <c:ext xmlns:c16="http://schemas.microsoft.com/office/drawing/2014/chart" uri="{C3380CC4-5D6E-409C-BE32-E72D297353CC}">
              <c16:uniqueId val="{00000000-F6A2-4DFB-87D4-23E07539BE94}"/>
            </c:ext>
          </c:extLst>
        </c:ser>
        <c:ser>
          <c:idx val="1"/>
          <c:order val="1"/>
          <c:tx>
            <c:strRef>
              <c:f>BASE!$BB$67:$BB$68</c:f>
              <c:strCache>
                <c:ptCount val="1"/>
                <c:pt idx="0">
                  <c:v>5-8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BASE!$AZ$69:$AZ$83</c:f>
              <c:strCache>
                <c:ptCount val="14"/>
                <c:pt idx="0">
                  <c:v>False Promise By Sales Team (NPS)</c:v>
                </c:pt>
                <c:pt idx="1">
                  <c:v>Applied for jobs but no satisfactory outcome (NPS)</c:v>
                </c:pt>
                <c:pt idx="2">
                  <c:v>Time Management Related Concerns (NPS)</c:v>
                </c:pt>
                <c:pt idx="3">
                  <c:v>TA Support Related Concerns (NPS)</c:v>
                </c:pt>
                <c:pt idx="4">
                  <c:v>Poor Class video quality (NPS)</c:v>
                </c:pt>
                <c:pt idx="5">
                  <c:v>Looking For Career Guidance (NPS)</c:v>
                </c:pt>
                <c:pt idx="6">
                  <c:v>Unhappy With The Class Timings (NPS)</c:v>
                </c:pt>
                <c:pt idx="7">
                  <c:v>Lecture Notes Related (NPS)</c:v>
                </c:pt>
                <c:pt idx="8">
                  <c:v>Mentor Support Related Concerns (NPS)</c:v>
                </c:pt>
                <c:pt idx="9">
                  <c:v>Unhappy With Course Curriculum (NPS)</c:v>
                </c:pt>
                <c:pt idx="10">
                  <c:v>Frequent Resume Rejection (NPS)</c:v>
                </c:pt>
                <c:pt idx="11">
                  <c:v>Instructor Related Feedback (NPS)</c:v>
                </c:pt>
                <c:pt idx="12">
                  <c:v>Not eligible for placements (NPS)</c:v>
                </c:pt>
                <c:pt idx="13">
                  <c:v>Projects &amp; Assignment Related Concern (NPS)</c:v>
                </c:pt>
              </c:strCache>
            </c:strRef>
          </c:cat>
          <c:val>
            <c:numRef>
              <c:f>BASE!$BB$69:$BB$83</c:f>
              <c:numCache>
                <c:formatCode>General</c:formatCode>
                <c:ptCount val="14"/>
                <c:pt idx="0">
                  <c:v>4</c:v>
                </c:pt>
                <c:pt idx="1">
                  <c:v>5</c:v>
                </c:pt>
                <c:pt idx="2">
                  <c:v>8</c:v>
                </c:pt>
                <c:pt idx="3">
                  <c:v>4</c:v>
                </c:pt>
                <c:pt idx="4">
                  <c:v>6</c:v>
                </c:pt>
                <c:pt idx="5">
                  <c:v>4</c:v>
                </c:pt>
                <c:pt idx="6">
                  <c:v>4</c:v>
                </c:pt>
                <c:pt idx="7">
                  <c:v>2</c:v>
                </c:pt>
                <c:pt idx="8">
                  <c:v>5</c:v>
                </c:pt>
                <c:pt idx="9">
                  <c:v>3</c:v>
                </c:pt>
                <c:pt idx="10">
                  <c:v>5</c:v>
                </c:pt>
                <c:pt idx="11">
                  <c:v>3</c:v>
                </c:pt>
                <c:pt idx="12">
                  <c:v>4</c:v>
                </c:pt>
                <c:pt idx="13">
                  <c:v>1</c:v>
                </c:pt>
              </c:numCache>
            </c:numRef>
          </c:val>
          <c:extLst>
            <c:ext xmlns:c16="http://schemas.microsoft.com/office/drawing/2014/chart" uri="{C3380CC4-5D6E-409C-BE32-E72D297353CC}">
              <c16:uniqueId val="{00000006-F6A2-4DFB-87D4-23E07539BE94}"/>
            </c:ext>
          </c:extLst>
        </c:ser>
        <c:ser>
          <c:idx val="2"/>
          <c:order val="2"/>
          <c:tx>
            <c:strRef>
              <c:f>BASE!$BC$67:$BC$68</c:f>
              <c:strCache>
                <c:ptCount val="1"/>
                <c:pt idx="0">
                  <c:v>9-12 days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BASE!$AZ$69:$AZ$83</c:f>
              <c:strCache>
                <c:ptCount val="14"/>
                <c:pt idx="0">
                  <c:v>False Promise By Sales Team (NPS)</c:v>
                </c:pt>
                <c:pt idx="1">
                  <c:v>Applied for jobs but no satisfactory outcome (NPS)</c:v>
                </c:pt>
                <c:pt idx="2">
                  <c:v>Time Management Related Concerns (NPS)</c:v>
                </c:pt>
                <c:pt idx="3">
                  <c:v>TA Support Related Concerns (NPS)</c:v>
                </c:pt>
                <c:pt idx="4">
                  <c:v>Poor Class video quality (NPS)</c:v>
                </c:pt>
                <c:pt idx="5">
                  <c:v>Looking For Career Guidance (NPS)</c:v>
                </c:pt>
                <c:pt idx="6">
                  <c:v>Unhappy With The Class Timings (NPS)</c:v>
                </c:pt>
                <c:pt idx="7">
                  <c:v>Lecture Notes Related (NPS)</c:v>
                </c:pt>
                <c:pt idx="8">
                  <c:v>Mentor Support Related Concerns (NPS)</c:v>
                </c:pt>
                <c:pt idx="9">
                  <c:v>Unhappy With Course Curriculum (NPS)</c:v>
                </c:pt>
                <c:pt idx="10">
                  <c:v>Frequent Resume Rejection (NPS)</c:v>
                </c:pt>
                <c:pt idx="11">
                  <c:v>Instructor Related Feedback (NPS)</c:v>
                </c:pt>
                <c:pt idx="12">
                  <c:v>Not eligible for placements (NPS)</c:v>
                </c:pt>
                <c:pt idx="13">
                  <c:v>Projects &amp; Assignment Related Concern (NPS)</c:v>
                </c:pt>
              </c:strCache>
            </c:strRef>
          </c:cat>
          <c:val>
            <c:numRef>
              <c:f>BASE!$BC$69:$BC$83</c:f>
              <c:numCache>
                <c:formatCode>General</c:formatCode>
                <c:ptCount val="14"/>
                <c:pt idx="0">
                  <c:v>8</c:v>
                </c:pt>
                <c:pt idx="1">
                  <c:v>4</c:v>
                </c:pt>
                <c:pt idx="2">
                  <c:v>4</c:v>
                </c:pt>
                <c:pt idx="3">
                  <c:v>5</c:v>
                </c:pt>
                <c:pt idx="4">
                  <c:v>3</c:v>
                </c:pt>
                <c:pt idx="5">
                  <c:v>6</c:v>
                </c:pt>
                <c:pt idx="6">
                  <c:v>3</c:v>
                </c:pt>
                <c:pt idx="7">
                  <c:v>3</c:v>
                </c:pt>
                <c:pt idx="8">
                  <c:v>5</c:v>
                </c:pt>
                <c:pt idx="9">
                  <c:v>3</c:v>
                </c:pt>
                <c:pt idx="10">
                  <c:v>4</c:v>
                </c:pt>
                <c:pt idx="11">
                  <c:v>5</c:v>
                </c:pt>
                <c:pt idx="12">
                  <c:v>4</c:v>
                </c:pt>
                <c:pt idx="13">
                  <c:v>4</c:v>
                </c:pt>
              </c:numCache>
            </c:numRef>
          </c:val>
          <c:extLst>
            <c:ext xmlns:c16="http://schemas.microsoft.com/office/drawing/2014/chart" uri="{C3380CC4-5D6E-409C-BE32-E72D297353CC}">
              <c16:uniqueId val="{00000007-F6A2-4DFB-87D4-23E07539BE94}"/>
            </c:ext>
          </c:extLst>
        </c:ser>
        <c:dLbls>
          <c:dLblPos val="outEnd"/>
          <c:showLegendKey val="0"/>
          <c:showVal val="1"/>
          <c:showCatName val="0"/>
          <c:showSerName val="0"/>
          <c:showPercent val="0"/>
          <c:showBubbleSize val="0"/>
        </c:dLbls>
        <c:gapWidth val="182"/>
        <c:axId val="750809264"/>
        <c:axId val="750820304"/>
      </c:barChart>
      <c:catAx>
        <c:axId val="75080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820304"/>
        <c:crosses val="autoZero"/>
        <c:auto val="1"/>
        <c:lblAlgn val="ctr"/>
        <c:lblOffset val="100"/>
        <c:noMultiLvlLbl val="0"/>
      </c:catAx>
      <c:valAx>
        <c:axId val="750820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80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[SCALER.xlsx]BASE!PivotTable10</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BASE!$BA$86:$BA$87</c:f>
              <c:strCache>
                <c:ptCount val="1"/>
                <c:pt idx="0">
                  <c:v>&gt;20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BASE!$AZ$88:$AZ$101</c:f>
              <c:strCache>
                <c:ptCount val="13"/>
                <c:pt idx="0">
                  <c:v>Projects &amp; Assignment Related Concern (NPS)</c:v>
                </c:pt>
                <c:pt idx="1">
                  <c:v>Looking For Career Guidance (NPS)</c:v>
                </c:pt>
                <c:pt idx="2">
                  <c:v>Not eligible for placements (NPS)</c:v>
                </c:pt>
                <c:pt idx="3">
                  <c:v>Instructor Related Feedback (NPS)</c:v>
                </c:pt>
                <c:pt idx="4">
                  <c:v>Frequent Resume Rejection (NPS)</c:v>
                </c:pt>
                <c:pt idx="5">
                  <c:v>Time Management Related Concerns (NPS)</c:v>
                </c:pt>
                <c:pt idx="6">
                  <c:v>Unhappy With The Class Timings (NPS)</c:v>
                </c:pt>
                <c:pt idx="7">
                  <c:v>Applied for jobs but no satisfactory outcome (NPS)</c:v>
                </c:pt>
                <c:pt idx="8">
                  <c:v>TA Support Related Concerns (NPS)</c:v>
                </c:pt>
                <c:pt idx="9">
                  <c:v>Mentor Support Related Concerns (NPS)</c:v>
                </c:pt>
                <c:pt idx="10">
                  <c:v>False Promise By Sales Team (NPS)</c:v>
                </c:pt>
                <c:pt idx="11">
                  <c:v>Lecture Notes Related (NPS)</c:v>
                </c:pt>
                <c:pt idx="12">
                  <c:v>Poor Class video quality (NPS)</c:v>
                </c:pt>
              </c:strCache>
            </c:strRef>
          </c:cat>
          <c:val>
            <c:numRef>
              <c:f>BASE!$BA$88:$BA$101</c:f>
              <c:numCache>
                <c:formatCode>General</c:formatCode>
                <c:ptCount val="13"/>
                <c:pt idx="0">
                  <c:v>6</c:v>
                </c:pt>
                <c:pt idx="1">
                  <c:v>5</c:v>
                </c:pt>
                <c:pt idx="2">
                  <c:v>5</c:v>
                </c:pt>
                <c:pt idx="3">
                  <c:v>3</c:v>
                </c:pt>
                <c:pt idx="4">
                  <c:v>3</c:v>
                </c:pt>
                <c:pt idx="5">
                  <c:v>3</c:v>
                </c:pt>
                <c:pt idx="6">
                  <c:v>3</c:v>
                </c:pt>
                <c:pt idx="7">
                  <c:v>2</c:v>
                </c:pt>
                <c:pt idx="8">
                  <c:v>2</c:v>
                </c:pt>
                <c:pt idx="9">
                  <c:v>2</c:v>
                </c:pt>
                <c:pt idx="10">
                  <c:v>2</c:v>
                </c:pt>
                <c:pt idx="11">
                  <c:v>2</c:v>
                </c:pt>
                <c:pt idx="12">
                  <c:v>2</c:v>
                </c:pt>
              </c:numCache>
            </c:numRef>
          </c:val>
          <c:extLst>
            <c:ext xmlns:c16="http://schemas.microsoft.com/office/drawing/2014/chart" uri="{C3380CC4-5D6E-409C-BE32-E72D297353CC}">
              <c16:uniqueId val="{00000000-E63F-4690-8F96-57BAA110BCB7}"/>
            </c:ext>
          </c:extLst>
        </c:ser>
        <c:ser>
          <c:idx val="1"/>
          <c:order val="1"/>
          <c:tx>
            <c:strRef>
              <c:f>BASE!$BB$86:$BB$87</c:f>
              <c:strCache>
                <c:ptCount val="1"/>
                <c:pt idx="0">
                  <c:v>8-20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BASE!$AZ$88:$AZ$101</c:f>
              <c:strCache>
                <c:ptCount val="13"/>
                <c:pt idx="0">
                  <c:v>Projects &amp; Assignment Related Concern (NPS)</c:v>
                </c:pt>
                <c:pt idx="1">
                  <c:v>Looking For Career Guidance (NPS)</c:v>
                </c:pt>
                <c:pt idx="2">
                  <c:v>Not eligible for placements (NPS)</c:v>
                </c:pt>
                <c:pt idx="3">
                  <c:v>Instructor Related Feedback (NPS)</c:v>
                </c:pt>
                <c:pt idx="4">
                  <c:v>Frequent Resume Rejection (NPS)</c:v>
                </c:pt>
                <c:pt idx="5">
                  <c:v>Time Management Related Concerns (NPS)</c:v>
                </c:pt>
                <c:pt idx="6">
                  <c:v>Unhappy With The Class Timings (NPS)</c:v>
                </c:pt>
                <c:pt idx="7">
                  <c:v>Applied for jobs but no satisfactory outcome (NPS)</c:v>
                </c:pt>
                <c:pt idx="8">
                  <c:v>TA Support Related Concerns (NPS)</c:v>
                </c:pt>
                <c:pt idx="9">
                  <c:v>Mentor Support Related Concerns (NPS)</c:v>
                </c:pt>
                <c:pt idx="10">
                  <c:v>False Promise By Sales Team (NPS)</c:v>
                </c:pt>
                <c:pt idx="11">
                  <c:v>Lecture Notes Related (NPS)</c:v>
                </c:pt>
                <c:pt idx="12">
                  <c:v>Poor Class video quality (NPS)</c:v>
                </c:pt>
              </c:strCache>
            </c:strRef>
          </c:cat>
          <c:val>
            <c:numRef>
              <c:f>BASE!$BB$88:$BB$101</c:f>
              <c:numCache>
                <c:formatCode>General</c:formatCode>
                <c:ptCount val="13"/>
                <c:pt idx="0">
                  <c:v>3</c:v>
                </c:pt>
                <c:pt idx="1">
                  <c:v>2</c:v>
                </c:pt>
                <c:pt idx="3">
                  <c:v>2</c:v>
                </c:pt>
                <c:pt idx="4">
                  <c:v>2</c:v>
                </c:pt>
                <c:pt idx="5">
                  <c:v>2</c:v>
                </c:pt>
                <c:pt idx="6">
                  <c:v>2</c:v>
                </c:pt>
                <c:pt idx="7">
                  <c:v>3</c:v>
                </c:pt>
                <c:pt idx="8">
                  <c:v>2</c:v>
                </c:pt>
                <c:pt idx="9">
                  <c:v>1</c:v>
                </c:pt>
              </c:numCache>
            </c:numRef>
          </c:val>
          <c:extLst>
            <c:ext xmlns:c16="http://schemas.microsoft.com/office/drawing/2014/chart" uri="{C3380CC4-5D6E-409C-BE32-E72D297353CC}">
              <c16:uniqueId val="{00000003-E63F-4690-8F96-57BAA110BCB7}"/>
            </c:ext>
          </c:extLst>
        </c:ser>
        <c:dLbls>
          <c:dLblPos val="outEnd"/>
          <c:showLegendKey val="0"/>
          <c:showVal val="1"/>
          <c:showCatName val="0"/>
          <c:showSerName val="0"/>
          <c:showPercent val="0"/>
          <c:showBubbleSize val="0"/>
        </c:dLbls>
        <c:gapWidth val="182"/>
        <c:axId val="722500960"/>
        <c:axId val="722497120"/>
      </c:barChart>
      <c:catAx>
        <c:axId val="722500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97120"/>
        <c:crosses val="autoZero"/>
        <c:auto val="1"/>
        <c:lblAlgn val="ctr"/>
        <c:lblOffset val="100"/>
        <c:noMultiLvlLbl val="0"/>
      </c:catAx>
      <c:valAx>
        <c:axId val="722497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0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[SCALER.xlsx]BASE!PivotTable9</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RESOLUTION</a:t>
            </a:r>
            <a:r>
              <a:rPr lang="en-US" baseline="0"/>
              <a:t> TIME IN DAYS ACROSS ISSUE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BASE!$BA$106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BASE!$AZ$107:$AZ$121</c:f>
              <c:strCache>
                <c:ptCount val="14"/>
                <c:pt idx="0">
                  <c:v>Instructor Related Feedback (NPS)</c:v>
                </c:pt>
                <c:pt idx="1">
                  <c:v>Mentor Support Related Concerns (NPS)</c:v>
                </c:pt>
                <c:pt idx="2">
                  <c:v>Time Management Related Concerns (NPS)</c:v>
                </c:pt>
                <c:pt idx="3">
                  <c:v>Looking For Career Guidance (NPS)</c:v>
                </c:pt>
                <c:pt idx="4">
                  <c:v>Frequent Resume Rejection (NPS)</c:v>
                </c:pt>
                <c:pt idx="5">
                  <c:v>False Promise By Sales Team (NPS)</c:v>
                </c:pt>
                <c:pt idx="6">
                  <c:v>Projects &amp; Assignment Related Concern (NPS)</c:v>
                </c:pt>
                <c:pt idx="7">
                  <c:v>Not eligible for placements (NPS)</c:v>
                </c:pt>
                <c:pt idx="8">
                  <c:v>TA Support Related Concerns (NPS)</c:v>
                </c:pt>
                <c:pt idx="9">
                  <c:v>Applied for jobs but no satisfactory outcome (NPS)</c:v>
                </c:pt>
                <c:pt idx="10">
                  <c:v>Poor Class video quality (NPS)</c:v>
                </c:pt>
                <c:pt idx="11">
                  <c:v>Unhappy With The Class Timings (NPS)</c:v>
                </c:pt>
                <c:pt idx="12">
                  <c:v>Unhappy With Course Curriculum (NPS)</c:v>
                </c:pt>
                <c:pt idx="13">
                  <c:v>Lecture Notes Related (NPS)</c:v>
                </c:pt>
              </c:strCache>
            </c:strRef>
          </c:cat>
          <c:val>
            <c:numRef>
              <c:f>BASE!$BA$107:$BA$121</c:f>
              <c:numCache>
                <c:formatCode>0.00</c:formatCode>
                <c:ptCount val="14"/>
                <c:pt idx="0">
                  <c:v>7.8988888888888873</c:v>
                </c:pt>
                <c:pt idx="1">
                  <c:v>7.6618181818181821</c:v>
                </c:pt>
                <c:pt idx="2">
                  <c:v>7.4507692307692306</c:v>
                </c:pt>
                <c:pt idx="3">
                  <c:v>7.4224999999999994</c:v>
                </c:pt>
                <c:pt idx="4">
                  <c:v>7.330000000000001</c:v>
                </c:pt>
                <c:pt idx="5">
                  <c:v>7.0956250000000001</c:v>
                </c:pt>
                <c:pt idx="6">
                  <c:v>6.9649999999999999</c:v>
                </c:pt>
                <c:pt idx="7">
                  <c:v>6.8533333333333335</c:v>
                </c:pt>
                <c:pt idx="8">
                  <c:v>6.6408333333333331</c:v>
                </c:pt>
                <c:pt idx="9">
                  <c:v>6.1714285714285708</c:v>
                </c:pt>
                <c:pt idx="10">
                  <c:v>6.1458333333333348</c:v>
                </c:pt>
                <c:pt idx="11">
                  <c:v>6.1290909090909089</c:v>
                </c:pt>
                <c:pt idx="12">
                  <c:v>5.4569999999999999</c:v>
                </c:pt>
                <c:pt idx="13">
                  <c:v>5.2981818181818179</c:v>
                </c:pt>
              </c:numCache>
            </c:numRef>
          </c:val>
          <c:extLst>
            <c:ext xmlns:c16="http://schemas.microsoft.com/office/drawing/2014/chart" uri="{C3380CC4-5D6E-409C-BE32-E72D297353CC}">
              <c16:uniqueId val="{00000000-7607-4348-A494-BFB76C68DBCE}"/>
            </c:ext>
          </c:extLst>
        </c:ser>
        <c:dLbls>
          <c:dLblPos val="outEnd"/>
          <c:showLegendKey val="0"/>
          <c:showVal val="1"/>
          <c:showCatName val="0"/>
          <c:showSerName val="0"/>
          <c:showPercent val="0"/>
          <c:showBubbleSize val="0"/>
        </c:dLbls>
        <c:gapWidth val="219"/>
        <c:overlap val="-27"/>
        <c:axId val="994106768"/>
        <c:axId val="994119728"/>
      </c:barChart>
      <c:catAx>
        <c:axId val="99410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19728"/>
        <c:crosses val="autoZero"/>
        <c:auto val="1"/>
        <c:lblAlgn val="ctr"/>
        <c:lblOffset val="100"/>
        <c:noMultiLvlLbl val="0"/>
      </c:catAx>
      <c:valAx>
        <c:axId val="9941197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0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[SCALER.xlsx]BASE!PivotTable17</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TICKET DISTRIBUTION ACROSS HANDLERS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766047980313623E-2"/>
          <c:y val="7.3473818262944426E-2"/>
          <c:w val="0.74096238853741747"/>
          <c:h val="0.67068181316895259"/>
        </c:manualLayout>
      </c:layout>
      <c:barChart>
        <c:barDir val="col"/>
        <c:grouping val="clustered"/>
        <c:varyColors val="0"/>
        <c:ser>
          <c:idx val="0"/>
          <c:order val="0"/>
          <c:tx>
            <c:strRef>
              <c:f>BASE!$BA$137:$BA$138</c:f>
              <c:strCache>
                <c:ptCount val="1"/>
                <c:pt idx="0">
                  <c:v>Complete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BASE!$AZ$139:$AZ$150</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BASE!$BA$139:$BA$150</c:f>
              <c:numCache>
                <c:formatCode>General</c:formatCode>
                <c:ptCount val="11"/>
                <c:pt idx="0">
                  <c:v>32</c:v>
                </c:pt>
                <c:pt idx="1">
                  <c:v>17</c:v>
                </c:pt>
                <c:pt idx="2">
                  <c:v>18</c:v>
                </c:pt>
                <c:pt idx="3">
                  <c:v>14</c:v>
                </c:pt>
                <c:pt idx="4">
                  <c:v>18</c:v>
                </c:pt>
                <c:pt idx="5">
                  <c:v>16</c:v>
                </c:pt>
                <c:pt idx="6">
                  <c:v>12</c:v>
                </c:pt>
                <c:pt idx="7">
                  <c:v>13</c:v>
                </c:pt>
                <c:pt idx="8">
                  <c:v>15</c:v>
                </c:pt>
                <c:pt idx="9">
                  <c:v>11</c:v>
                </c:pt>
              </c:numCache>
            </c:numRef>
          </c:val>
          <c:extLst>
            <c:ext xmlns:c16="http://schemas.microsoft.com/office/drawing/2014/chart" uri="{C3380CC4-5D6E-409C-BE32-E72D297353CC}">
              <c16:uniqueId val="{00000000-99E7-4965-92FA-03DE15BF76EE}"/>
            </c:ext>
          </c:extLst>
        </c:ser>
        <c:ser>
          <c:idx val="1"/>
          <c:order val="1"/>
          <c:tx>
            <c:strRef>
              <c:f>BASE!$BB$137:$BB$138</c:f>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BASE!$AZ$139:$AZ$150</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BASE!$BB$139:$BB$150</c:f>
              <c:numCache>
                <c:formatCode>General</c:formatCode>
                <c:ptCount val="11"/>
                <c:pt idx="0">
                  <c:v>6</c:v>
                </c:pt>
                <c:pt idx="1">
                  <c:v>8</c:v>
                </c:pt>
                <c:pt idx="2">
                  <c:v>5</c:v>
                </c:pt>
                <c:pt idx="3">
                  <c:v>8</c:v>
                </c:pt>
                <c:pt idx="4">
                  <c:v>4</c:v>
                </c:pt>
                <c:pt idx="5">
                  <c:v>5</c:v>
                </c:pt>
                <c:pt idx="6">
                  <c:v>7</c:v>
                </c:pt>
                <c:pt idx="7">
                  <c:v>5</c:v>
                </c:pt>
                <c:pt idx="8">
                  <c:v>2</c:v>
                </c:pt>
                <c:pt idx="9">
                  <c:v>4</c:v>
                </c:pt>
                <c:pt idx="10">
                  <c:v>5</c:v>
                </c:pt>
              </c:numCache>
            </c:numRef>
          </c:val>
          <c:extLst>
            <c:ext xmlns:c16="http://schemas.microsoft.com/office/drawing/2014/chart" uri="{C3380CC4-5D6E-409C-BE32-E72D297353CC}">
              <c16:uniqueId val="{00000007-99E7-4965-92FA-03DE15BF76EE}"/>
            </c:ext>
          </c:extLst>
        </c:ser>
        <c:dLbls>
          <c:dLblPos val="outEnd"/>
          <c:showLegendKey val="0"/>
          <c:showVal val="1"/>
          <c:showCatName val="0"/>
          <c:showSerName val="0"/>
          <c:showPercent val="0"/>
          <c:showBubbleSize val="0"/>
        </c:dLbls>
        <c:gapWidth val="219"/>
        <c:overlap val="-27"/>
        <c:axId val="898314704"/>
        <c:axId val="898328144"/>
      </c:barChart>
      <c:catAx>
        <c:axId val="89831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28144"/>
        <c:crosses val="autoZero"/>
        <c:auto val="1"/>
        <c:lblAlgn val="ctr"/>
        <c:lblOffset val="100"/>
        <c:noMultiLvlLbl val="0"/>
      </c:catAx>
      <c:valAx>
        <c:axId val="898328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1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[SCALER.xlsx]BASE!PivotTable18</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BASE!$BA$156:$BA$157</c:f>
              <c:strCache>
                <c:ptCount val="1"/>
                <c:pt idx="0">
                  <c:v>1-4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BASE!$AZ$158:$AZ$168</c:f>
              <c:strCache>
                <c:ptCount val="10"/>
                <c:pt idx="0">
                  <c:v>Jessica Kim</c:v>
                </c:pt>
                <c:pt idx="1">
                  <c:v>Mike Chen</c:v>
                </c:pt>
                <c:pt idx="2">
                  <c:v>Lisa Rodriguez</c:v>
                </c:pt>
                <c:pt idx="3">
                  <c:v>Amit Patel</c:v>
                </c:pt>
                <c:pt idx="4">
                  <c:v>Priya Sharma</c:v>
                </c:pt>
                <c:pt idx="5">
                  <c:v>Rohit Gupta</c:v>
                </c:pt>
                <c:pt idx="6">
                  <c:v>Carlos Martinez</c:v>
                </c:pt>
                <c:pt idx="7">
                  <c:v>David Wilson</c:v>
                </c:pt>
                <c:pt idx="8">
                  <c:v>Sneha Reddy</c:v>
                </c:pt>
                <c:pt idx="9">
                  <c:v>Sarah Johnson</c:v>
                </c:pt>
              </c:strCache>
            </c:strRef>
          </c:cat>
          <c:val>
            <c:numRef>
              <c:f>BASE!$BA$158:$BA$168</c:f>
              <c:numCache>
                <c:formatCode>General</c:formatCode>
                <c:ptCount val="10"/>
                <c:pt idx="0">
                  <c:v>8</c:v>
                </c:pt>
                <c:pt idx="1">
                  <c:v>2</c:v>
                </c:pt>
                <c:pt idx="2">
                  <c:v>4</c:v>
                </c:pt>
                <c:pt idx="3">
                  <c:v>5</c:v>
                </c:pt>
                <c:pt idx="4">
                  <c:v>6</c:v>
                </c:pt>
                <c:pt idx="5">
                  <c:v>4</c:v>
                </c:pt>
                <c:pt idx="6">
                  <c:v>3</c:v>
                </c:pt>
                <c:pt idx="7">
                  <c:v>4</c:v>
                </c:pt>
                <c:pt idx="8">
                  <c:v>2</c:v>
                </c:pt>
                <c:pt idx="9">
                  <c:v>1</c:v>
                </c:pt>
              </c:numCache>
            </c:numRef>
          </c:val>
          <c:extLst>
            <c:ext xmlns:c16="http://schemas.microsoft.com/office/drawing/2014/chart" uri="{C3380CC4-5D6E-409C-BE32-E72D297353CC}">
              <c16:uniqueId val="{00000000-D064-418C-907E-11C3D5A0A2F0}"/>
            </c:ext>
          </c:extLst>
        </c:ser>
        <c:ser>
          <c:idx val="1"/>
          <c:order val="1"/>
          <c:tx>
            <c:strRef>
              <c:f>BASE!$BB$156:$BB$157</c:f>
              <c:strCache>
                <c:ptCount val="1"/>
                <c:pt idx="0">
                  <c:v>5-8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BASE!$AZ$158:$AZ$168</c:f>
              <c:strCache>
                <c:ptCount val="10"/>
                <c:pt idx="0">
                  <c:v>Jessica Kim</c:v>
                </c:pt>
                <c:pt idx="1">
                  <c:v>Mike Chen</c:v>
                </c:pt>
                <c:pt idx="2">
                  <c:v>Lisa Rodriguez</c:v>
                </c:pt>
                <c:pt idx="3">
                  <c:v>Amit Patel</c:v>
                </c:pt>
                <c:pt idx="4">
                  <c:v>Priya Sharma</c:v>
                </c:pt>
                <c:pt idx="5">
                  <c:v>Rohit Gupta</c:v>
                </c:pt>
                <c:pt idx="6">
                  <c:v>Carlos Martinez</c:v>
                </c:pt>
                <c:pt idx="7">
                  <c:v>David Wilson</c:v>
                </c:pt>
                <c:pt idx="8">
                  <c:v>Sneha Reddy</c:v>
                </c:pt>
                <c:pt idx="9">
                  <c:v>Sarah Johnson</c:v>
                </c:pt>
              </c:strCache>
            </c:strRef>
          </c:cat>
          <c:val>
            <c:numRef>
              <c:f>BASE!$BB$158:$BB$168</c:f>
              <c:numCache>
                <c:formatCode>General</c:formatCode>
                <c:ptCount val="10"/>
                <c:pt idx="0">
                  <c:v>13</c:v>
                </c:pt>
                <c:pt idx="1">
                  <c:v>9</c:v>
                </c:pt>
                <c:pt idx="2">
                  <c:v>7</c:v>
                </c:pt>
                <c:pt idx="3">
                  <c:v>6</c:v>
                </c:pt>
                <c:pt idx="4">
                  <c:v>7</c:v>
                </c:pt>
                <c:pt idx="5">
                  <c:v>5</c:v>
                </c:pt>
                <c:pt idx="6">
                  <c:v>4</c:v>
                </c:pt>
                <c:pt idx="7">
                  <c:v>5</c:v>
                </c:pt>
                <c:pt idx="8">
                  <c:v>1</c:v>
                </c:pt>
                <c:pt idx="9">
                  <c:v>1</c:v>
                </c:pt>
              </c:numCache>
            </c:numRef>
          </c:val>
          <c:extLst>
            <c:ext xmlns:c16="http://schemas.microsoft.com/office/drawing/2014/chart" uri="{C3380CC4-5D6E-409C-BE32-E72D297353CC}">
              <c16:uniqueId val="{0000000C-D064-418C-907E-11C3D5A0A2F0}"/>
            </c:ext>
          </c:extLst>
        </c:ser>
        <c:ser>
          <c:idx val="2"/>
          <c:order val="2"/>
          <c:tx>
            <c:strRef>
              <c:f>BASE!$BC$156:$BC$157</c:f>
              <c:strCache>
                <c:ptCount val="1"/>
                <c:pt idx="0">
                  <c:v>9-12 days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BASE!$AZ$158:$AZ$168</c:f>
              <c:strCache>
                <c:ptCount val="10"/>
                <c:pt idx="0">
                  <c:v>Jessica Kim</c:v>
                </c:pt>
                <c:pt idx="1">
                  <c:v>Mike Chen</c:v>
                </c:pt>
                <c:pt idx="2">
                  <c:v>Lisa Rodriguez</c:v>
                </c:pt>
                <c:pt idx="3">
                  <c:v>Amit Patel</c:v>
                </c:pt>
                <c:pt idx="4">
                  <c:v>Priya Sharma</c:v>
                </c:pt>
                <c:pt idx="5">
                  <c:v>Rohit Gupta</c:v>
                </c:pt>
                <c:pt idx="6">
                  <c:v>Carlos Martinez</c:v>
                </c:pt>
                <c:pt idx="7">
                  <c:v>David Wilson</c:v>
                </c:pt>
                <c:pt idx="8">
                  <c:v>Sneha Reddy</c:v>
                </c:pt>
                <c:pt idx="9">
                  <c:v>Sarah Johnson</c:v>
                </c:pt>
              </c:strCache>
            </c:strRef>
          </c:cat>
          <c:val>
            <c:numRef>
              <c:f>BASE!$BC$158:$BC$168</c:f>
              <c:numCache>
                <c:formatCode>General</c:formatCode>
                <c:ptCount val="10"/>
                <c:pt idx="0">
                  <c:v>10</c:v>
                </c:pt>
                <c:pt idx="1">
                  <c:v>7</c:v>
                </c:pt>
                <c:pt idx="2">
                  <c:v>6</c:v>
                </c:pt>
                <c:pt idx="3">
                  <c:v>4</c:v>
                </c:pt>
                <c:pt idx="4">
                  <c:v>2</c:v>
                </c:pt>
                <c:pt idx="5">
                  <c:v>5</c:v>
                </c:pt>
                <c:pt idx="6">
                  <c:v>6</c:v>
                </c:pt>
                <c:pt idx="7">
                  <c:v>4</c:v>
                </c:pt>
                <c:pt idx="8">
                  <c:v>8</c:v>
                </c:pt>
                <c:pt idx="9">
                  <c:v>9</c:v>
                </c:pt>
              </c:numCache>
            </c:numRef>
          </c:val>
          <c:extLst>
            <c:ext xmlns:c16="http://schemas.microsoft.com/office/drawing/2014/chart" uri="{C3380CC4-5D6E-409C-BE32-E72D297353CC}">
              <c16:uniqueId val="{0000000D-D064-418C-907E-11C3D5A0A2F0}"/>
            </c:ext>
          </c:extLst>
        </c:ser>
        <c:dLbls>
          <c:dLblPos val="outEnd"/>
          <c:showLegendKey val="0"/>
          <c:showVal val="1"/>
          <c:showCatName val="0"/>
          <c:showSerName val="0"/>
          <c:showPercent val="0"/>
          <c:showBubbleSize val="0"/>
        </c:dLbls>
        <c:gapWidth val="182"/>
        <c:axId val="991863360"/>
        <c:axId val="991874880"/>
      </c:barChart>
      <c:catAx>
        <c:axId val="99186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874880"/>
        <c:crosses val="autoZero"/>
        <c:auto val="1"/>
        <c:lblAlgn val="ctr"/>
        <c:lblOffset val="100"/>
        <c:noMultiLvlLbl val="0"/>
      </c:catAx>
      <c:valAx>
        <c:axId val="991874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86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[SCALER.xlsx]BASE!PivotTable19</c:name>
    <c:fmtId val="2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BASE!$BA$175:$BA$176</c:f>
              <c:strCache>
                <c:ptCount val="1"/>
                <c:pt idx="0">
                  <c:v>&gt;20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BASE!$AZ$177:$AZ$188</c:f>
              <c:strCache>
                <c:ptCount val="11"/>
                <c:pt idx="0">
                  <c:v>Carlos Martinez</c:v>
                </c:pt>
                <c:pt idx="1">
                  <c:v>Lisa Rodriguez</c:v>
                </c:pt>
                <c:pt idx="2">
                  <c:v>Sneha Reddy</c:v>
                </c:pt>
                <c:pt idx="3">
                  <c:v>Jessica Kim</c:v>
                </c:pt>
                <c:pt idx="4">
                  <c:v>David Wilson</c:v>
                </c:pt>
                <c:pt idx="5">
                  <c:v>Priya Sharma</c:v>
                </c:pt>
                <c:pt idx="6">
                  <c:v>Unknown_Handler</c:v>
                </c:pt>
                <c:pt idx="7">
                  <c:v>Amit Patel</c:v>
                </c:pt>
                <c:pt idx="8">
                  <c:v>Sarah Johnson</c:v>
                </c:pt>
                <c:pt idx="9">
                  <c:v>Mike Chen</c:v>
                </c:pt>
                <c:pt idx="10">
                  <c:v>Rohit Gupta</c:v>
                </c:pt>
              </c:strCache>
            </c:strRef>
          </c:cat>
          <c:val>
            <c:numRef>
              <c:f>BASE!$BA$177:$BA$188</c:f>
              <c:numCache>
                <c:formatCode>General</c:formatCode>
                <c:ptCount val="11"/>
                <c:pt idx="0">
                  <c:v>5</c:v>
                </c:pt>
                <c:pt idx="1">
                  <c:v>4</c:v>
                </c:pt>
                <c:pt idx="2">
                  <c:v>4</c:v>
                </c:pt>
                <c:pt idx="3">
                  <c:v>4</c:v>
                </c:pt>
                <c:pt idx="4">
                  <c:v>4</c:v>
                </c:pt>
                <c:pt idx="5">
                  <c:v>3</c:v>
                </c:pt>
                <c:pt idx="6">
                  <c:v>4</c:v>
                </c:pt>
                <c:pt idx="7">
                  <c:v>4</c:v>
                </c:pt>
                <c:pt idx="8">
                  <c:v>3</c:v>
                </c:pt>
                <c:pt idx="9">
                  <c:v>4</c:v>
                </c:pt>
                <c:pt idx="10">
                  <c:v>1</c:v>
                </c:pt>
              </c:numCache>
            </c:numRef>
          </c:val>
          <c:extLst>
            <c:ext xmlns:c16="http://schemas.microsoft.com/office/drawing/2014/chart" uri="{C3380CC4-5D6E-409C-BE32-E72D297353CC}">
              <c16:uniqueId val="{00000000-A286-4DD2-968E-0564B68C0730}"/>
            </c:ext>
          </c:extLst>
        </c:ser>
        <c:ser>
          <c:idx val="1"/>
          <c:order val="1"/>
          <c:tx>
            <c:strRef>
              <c:f>BASE!$BB$175:$BB$176</c:f>
              <c:strCache>
                <c:ptCount val="1"/>
                <c:pt idx="0">
                  <c:v>8-20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BASE!$AZ$177:$AZ$188</c:f>
              <c:strCache>
                <c:ptCount val="11"/>
                <c:pt idx="0">
                  <c:v>Carlos Martinez</c:v>
                </c:pt>
                <c:pt idx="1">
                  <c:v>Lisa Rodriguez</c:v>
                </c:pt>
                <c:pt idx="2">
                  <c:v>Sneha Reddy</c:v>
                </c:pt>
                <c:pt idx="3">
                  <c:v>Jessica Kim</c:v>
                </c:pt>
                <c:pt idx="4">
                  <c:v>David Wilson</c:v>
                </c:pt>
                <c:pt idx="5">
                  <c:v>Priya Sharma</c:v>
                </c:pt>
                <c:pt idx="6">
                  <c:v>Unknown_Handler</c:v>
                </c:pt>
                <c:pt idx="7">
                  <c:v>Amit Patel</c:v>
                </c:pt>
                <c:pt idx="8">
                  <c:v>Sarah Johnson</c:v>
                </c:pt>
                <c:pt idx="9">
                  <c:v>Mike Chen</c:v>
                </c:pt>
                <c:pt idx="10">
                  <c:v>Rohit Gupta</c:v>
                </c:pt>
              </c:strCache>
            </c:strRef>
          </c:cat>
          <c:val>
            <c:numRef>
              <c:f>BASE!$BB$177:$BB$188</c:f>
              <c:numCache>
                <c:formatCode>General</c:formatCode>
                <c:ptCount val="11"/>
                <c:pt idx="0">
                  <c:v>3</c:v>
                </c:pt>
                <c:pt idx="1">
                  <c:v>4</c:v>
                </c:pt>
                <c:pt idx="2">
                  <c:v>3</c:v>
                </c:pt>
                <c:pt idx="3">
                  <c:v>2</c:v>
                </c:pt>
                <c:pt idx="4">
                  <c:v>1</c:v>
                </c:pt>
                <c:pt idx="5">
                  <c:v>2</c:v>
                </c:pt>
                <c:pt idx="6">
                  <c:v>1</c:v>
                </c:pt>
                <c:pt idx="7">
                  <c:v>1</c:v>
                </c:pt>
                <c:pt idx="8">
                  <c:v>1</c:v>
                </c:pt>
                <c:pt idx="10">
                  <c:v>1</c:v>
                </c:pt>
              </c:numCache>
            </c:numRef>
          </c:val>
          <c:extLst>
            <c:ext xmlns:c16="http://schemas.microsoft.com/office/drawing/2014/chart" uri="{C3380CC4-5D6E-409C-BE32-E72D297353CC}">
              <c16:uniqueId val="{0000000C-A286-4DD2-968E-0564B68C0730}"/>
            </c:ext>
          </c:extLst>
        </c:ser>
        <c:dLbls>
          <c:dLblPos val="outEnd"/>
          <c:showLegendKey val="0"/>
          <c:showVal val="1"/>
          <c:showCatName val="0"/>
          <c:showSerName val="0"/>
          <c:showPercent val="0"/>
          <c:showBubbleSize val="0"/>
        </c:dLbls>
        <c:gapWidth val="182"/>
        <c:axId val="445388432"/>
        <c:axId val="445390832"/>
      </c:barChart>
      <c:catAx>
        <c:axId val="44538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390832"/>
        <c:crosses val="autoZero"/>
        <c:auto val="1"/>
        <c:lblAlgn val="ctr"/>
        <c:lblOffset val="100"/>
        <c:noMultiLvlLbl val="0"/>
      </c:catAx>
      <c:valAx>
        <c:axId val="445390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38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[SCALER.xlsx]BASE!PivotTable20</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RESOLUTION TIME TAKEN BY HANDLER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BASE!$BA$195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BASE!$AZ$196:$AZ$207</c:f>
              <c:strCache>
                <c:ptCount val="11"/>
                <c:pt idx="0">
                  <c:v>Sarah Johnson</c:v>
                </c:pt>
                <c:pt idx="1">
                  <c:v>Sneha Reddy</c:v>
                </c:pt>
                <c:pt idx="2">
                  <c:v>Mike Chen</c:v>
                </c:pt>
                <c:pt idx="3">
                  <c:v>Carlos Martinez</c:v>
                </c:pt>
                <c:pt idx="4">
                  <c:v>Lisa Rodriguez</c:v>
                </c:pt>
                <c:pt idx="5">
                  <c:v>Jessica Kim</c:v>
                </c:pt>
                <c:pt idx="6">
                  <c:v>Rohit Gupta</c:v>
                </c:pt>
                <c:pt idx="7">
                  <c:v>David Wilson</c:v>
                </c:pt>
                <c:pt idx="8">
                  <c:v>Amit Patel</c:v>
                </c:pt>
                <c:pt idx="9">
                  <c:v>Priya Sharma</c:v>
                </c:pt>
                <c:pt idx="10">
                  <c:v>Unknown_Handler</c:v>
                </c:pt>
              </c:strCache>
            </c:strRef>
          </c:cat>
          <c:val>
            <c:numRef>
              <c:f>BASE!$BA$196:$BA$207</c:f>
              <c:numCache>
                <c:formatCode>0.00</c:formatCode>
                <c:ptCount val="11"/>
                <c:pt idx="0">
                  <c:v>9.3318181818181802</c:v>
                </c:pt>
                <c:pt idx="1">
                  <c:v>8.8490909090909078</c:v>
                </c:pt>
                <c:pt idx="2">
                  <c:v>7.7472222222222218</c:v>
                </c:pt>
                <c:pt idx="3">
                  <c:v>6.7607692307692311</c:v>
                </c:pt>
                <c:pt idx="4">
                  <c:v>6.7217647058823538</c:v>
                </c:pt>
                <c:pt idx="5">
                  <c:v>6.5541935483870954</c:v>
                </c:pt>
                <c:pt idx="6">
                  <c:v>6.0371428571428565</c:v>
                </c:pt>
                <c:pt idx="7">
                  <c:v>5.9107692307692314</c:v>
                </c:pt>
                <c:pt idx="8">
                  <c:v>5.7713333333333328</c:v>
                </c:pt>
                <c:pt idx="9">
                  <c:v>4.8619999999999983</c:v>
                </c:pt>
                <c:pt idx="10">
                  <c:v>#N/A</c:v>
                </c:pt>
              </c:numCache>
            </c:numRef>
          </c:val>
          <c:extLst>
            <c:ext xmlns:c16="http://schemas.microsoft.com/office/drawing/2014/chart" uri="{C3380CC4-5D6E-409C-BE32-E72D297353CC}">
              <c16:uniqueId val="{00000000-2E0E-4F8A-8F97-24A0F456E439}"/>
            </c:ext>
          </c:extLst>
        </c:ser>
        <c:dLbls>
          <c:dLblPos val="outEnd"/>
          <c:showLegendKey val="0"/>
          <c:showVal val="1"/>
          <c:showCatName val="0"/>
          <c:showSerName val="0"/>
          <c:showPercent val="0"/>
          <c:showBubbleSize val="0"/>
        </c:dLbls>
        <c:gapWidth val="219"/>
        <c:overlap val="-27"/>
        <c:axId val="988923136"/>
        <c:axId val="988947616"/>
      </c:barChart>
      <c:catAx>
        <c:axId val="98892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947616"/>
        <c:crosses val="autoZero"/>
        <c:auto val="1"/>
        <c:lblAlgn val="ctr"/>
        <c:lblOffset val="100"/>
        <c:noMultiLvlLbl val="0"/>
      </c:catAx>
      <c:valAx>
        <c:axId val="9889476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92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[SCALER.xlsx]BASE!PivotTable25</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WEEKLY / MONTHLY TICKET DISTRIBUTION ACROSS ISSUE TYPE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BASE!$CH$34:$CH$36</c:f>
              <c:strCache>
                <c:ptCount val="1"/>
                <c:pt idx="0">
                  <c:v>Complete - COUNT OF TICKET PENDING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BASE!$CH$37:$CH$51</c:f>
              <c:numCache>
                <c:formatCode>General</c:formatCode>
                <c:ptCount val="14"/>
                <c:pt idx="0">
                  <c:v>14</c:v>
                </c:pt>
                <c:pt idx="1">
                  <c:v>14</c:v>
                </c:pt>
                <c:pt idx="2">
                  <c:v>9</c:v>
                </c:pt>
                <c:pt idx="3">
                  <c:v>16</c:v>
                </c:pt>
                <c:pt idx="4">
                  <c:v>13</c:v>
                </c:pt>
                <c:pt idx="5">
                  <c:v>14</c:v>
                </c:pt>
                <c:pt idx="6">
                  <c:v>11</c:v>
                </c:pt>
                <c:pt idx="7">
                  <c:v>12</c:v>
                </c:pt>
                <c:pt idx="8">
                  <c:v>11</c:v>
                </c:pt>
                <c:pt idx="9">
                  <c:v>9</c:v>
                </c:pt>
                <c:pt idx="10">
                  <c:v>9</c:v>
                </c:pt>
                <c:pt idx="11">
                  <c:v>12</c:v>
                </c:pt>
                <c:pt idx="12">
                  <c:v>12</c:v>
                </c:pt>
                <c:pt idx="13">
                  <c:v>10</c:v>
                </c:pt>
              </c:numCache>
            </c:numRef>
          </c:val>
          <c:extLst>
            <c:ext xmlns:c16="http://schemas.microsoft.com/office/drawing/2014/chart" uri="{C3380CC4-5D6E-409C-BE32-E72D297353CC}">
              <c16:uniqueId val="{00000000-5701-4EDD-9B4D-F6B7D5EAECE2}"/>
            </c:ext>
          </c:extLst>
        </c:ser>
        <c:ser>
          <c:idx val="1"/>
          <c:order val="1"/>
          <c:tx>
            <c:strRef>
              <c:f>BASE!$CI$34:$CI$36</c:f>
              <c:strCache>
                <c:ptCount val="1"/>
                <c:pt idx="0">
                  <c:v>Complete - PERCENTAGE COMPLETE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BASE!$CI$37:$CI$51</c:f>
              <c:numCache>
                <c:formatCode>0.00%</c:formatCode>
                <c:ptCount val="14"/>
                <c:pt idx="0">
                  <c:v>0.66666666666666663</c:v>
                </c:pt>
                <c:pt idx="1">
                  <c:v>0.73684210526315785</c:v>
                </c:pt>
                <c:pt idx="2">
                  <c:v>0.5</c:v>
                </c:pt>
                <c:pt idx="3">
                  <c:v>0.88888888888888884</c:v>
                </c:pt>
                <c:pt idx="4">
                  <c:v>0.72222222222222221</c:v>
                </c:pt>
                <c:pt idx="5">
                  <c:v>0.82352941176470584</c:v>
                </c:pt>
                <c:pt idx="6">
                  <c:v>0.6875</c:v>
                </c:pt>
                <c:pt idx="7">
                  <c:v>0.75</c:v>
                </c:pt>
                <c:pt idx="8">
                  <c:v>0.6875</c:v>
                </c:pt>
                <c:pt idx="9">
                  <c:v>0.6428571428571429</c:v>
                </c:pt>
                <c:pt idx="10">
                  <c:v>0.6428571428571429</c:v>
                </c:pt>
                <c:pt idx="11">
                  <c:v>0.8571428571428571</c:v>
                </c:pt>
                <c:pt idx="12">
                  <c:v>0.8571428571428571</c:v>
                </c:pt>
                <c:pt idx="13">
                  <c:v>1</c:v>
                </c:pt>
              </c:numCache>
            </c:numRef>
          </c:val>
          <c:extLst>
            <c:ext xmlns:c16="http://schemas.microsoft.com/office/drawing/2014/chart" uri="{C3380CC4-5D6E-409C-BE32-E72D297353CC}">
              <c16:uniqueId val="{00000001-5701-4EDD-9B4D-F6B7D5EAECE2}"/>
            </c:ext>
          </c:extLst>
        </c:ser>
        <c:ser>
          <c:idx val="2"/>
          <c:order val="2"/>
          <c:tx>
            <c:strRef>
              <c:f>BASE!$CJ$34:$CJ$36</c:f>
              <c:strCache>
                <c:ptCount val="1"/>
                <c:pt idx="0">
                  <c:v>Pending - COUNT OF TICKET PENDING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BASE!$CJ$37:$CJ$51</c:f>
              <c:numCache>
                <c:formatCode>General</c:formatCode>
                <c:ptCount val="14"/>
                <c:pt idx="0">
                  <c:v>7</c:v>
                </c:pt>
                <c:pt idx="1">
                  <c:v>5</c:v>
                </c:pt>
                <c:pt idx="2">
                  <c:v>9</c:v>
                </c:pt>
                <c:pt idx="3">
                  <c:v>2</c:v>
                </c:pt>
                <c:pt idx="4">
                  <c:v>5</c:v>
                </c:pt>
                <c:pt idx="5">
                  <c:v>3</c:v>
                </c:pt>
                <c:pt idx="6">
                  <c:v>5</c:v>
                </c:pt>
                <c:pt idx="7">
                  <c:v>4</c:v>
                </c:pt>
                <c:pt idx="8">
                  <c:v>5</c:v>
                </c:pt>
                <c:pt idx="9">
                  <c:v>5</c:v>
                </c:pt>
                <c:pt idx="10">
                  <c:v>5</c:v>
                </c:pt>
                <c:pt idx="11">
                  <c:v>2</c:v>
                </c:pt>
                <c:pt idx="12">
                  <c:v>2</c:v>
                </c:pt>
              </c:numCache>
            </c:numRef>
          </c:val>
          <c:extLst>
            <c:ext xmlns:c16="http://schemas.microsoft.com/office/drawing/2014/chart" uri="{C3380CC4-5D6E-409C-BE32-E72D297353CC}">
              <c16:uniqueId val="{00000002-5701-4EDD-9B4D-F6B7D5EAECE2}"/>
            </c:ext>
          </c:extLst>
        </c:ser>
        <c:ser>
          <c:idx val="3"/>
          <c:order val="3"/>
          <c:tx>
            <c:strRef>
              <c:f>BASE!$CK$34:$CK$36</c:f>
              <c:strCache>
                <c:ptCount val="1"/>
                <c:pt idx="0">
                  <c:v>Pending - PERCENTAGE COMPLETE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BASE!$CG$37:$CG$51</c:f>
              <c:strCache>
                <c:ptCount val="14"/>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pt idx="5">
                  <c:v>Mentor Support Related Concerns (NPS)</c:v>
                </c:pt>
                <c:pt idx="6">
                  <c:v>Frequent Resume Rejection (NPS)</c:v>
                </c:pt>
                <c:pt idx="7">
                  <c:v>TA Support Related Concerns (NPS)</c:v>
                </c:pt>
                <c:pt idx="8">
                  <c:v>Unhappy With The Class Timings (NPS)</c:v>
                </c:pt>
                <c:pt idx="9">
                  <c:v>Not eligible for placements (NPS)</c:v>
                </c:pt>
                <c:pt idx="10">
                  <c:v>Instructor Related Feedback (NPS)</c:v>
                </c:pt>
                <c:pt idx="11">
                  <c:v>Poor Class video quality (NPS)</c:v>
                </c:pt>
                <c:pt idx="12">
                  <c:v>Lecture Notes Related (NPS)</c:v>
                </c:pt>
                <c:pt idx="13">
                  <c:v>Unhappy With Course Curriculum (NPS)</c:v>
                </c:pt>
              </c:strCache>
            </c:strRef>
          </c:cat>
          <c:val>
            <c:numRef>
              <c:f>BASE!$CK$37:$CK$51</c:f>
              <c:numCache>
                <c:formatCode>0.00%</c:formatCode>
                <c:ptCount val="14"/>
                <c:pt idx="0">
                  <c:v>0.33333333333333331</c:v>
                </c:pt>
                <c:pt idx="1">
                  <c:v>0.26315789473684209</c:v>
                </c:pt>
                <c:pt idx="2">
                  <c:v>0.5</c:v>
                </c:pt>
                <c:pt idx="3">
                  <c:v>0.1111111111111111</c:v>
                </c:pt>
                <c:pt idx="4">
                  <c:v>0.27777777777777779</c:v>
                </c:pt>
                <c:pt idx="5">
                  <c:v>0.17647058823529413</c:v>
                </c:pt>
                <c:pt idx="6">
                  <c:v>0.3125</c:v>
                </c:pt>
                <c:pt idx="7">
                  <c:v>0.25</c:v>
                </c:pt>
                <c:pt idx="8">
                  <c:v>0.3125</c:v>
                </c:pt>
                <c:pt idx="9">
                  <c:v>0.35714285714285715</c:v>
                </c:pt>
                <c:pt idx="10">
                  <c:v>0.35714285714285715</c:v>
                </c:pt>
                <c:pt idx="11">
                  <c:v>0.14285714285714285</c:v>
                </c:pt>
                <c:pt idx="12">
                  <c:v>0.14285714285714285</c:v>
                </c:pt>
                <c:pt idx="13">
                  <c:v>0</c:v>
                </c:pt>
              </c:numCache>
            </c:numRef>
          </c:val>
          <c:extLst>
            <c:ext xmlns:c16="http://schemas.microsoft.com/office/drawing/2014/chart" uri="{C3380CC4-5D6E-409C-BE32-E72D297353CC}">
              <c16:uniqueId val="{00000003-5701-4EDD-9B4D-F6B7D5EAECE2}"/>
            </c:ext>
          </c:extLst>
        </c:ser>
        <c:dLbls>
          <c:dLblPos val="ctr"/>
          <c:showLegendKey val="0"/>
          <c:showVal val="1"/>
          <c:showCatName val="0"/>
          <c:showSerName val="0"/>
          <c:showPercent val="0"/>
          <c:showBubbleSize val="0"/>
        </c:dLbls>
        <c:gapWidth val="150"/>
        <c:overlap val="100"/>
        <c:axId val="1339159536"/>
        <c:axId val="1339160016"/>
      </c:barChart>
      <c:catAx>
        <c:axId val="133915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60016"/>
        <c:crosses val="autoZero"/>
        <c:auto val="1"/>
        <c:lblAlgn val="ctr"/>
        <c:lblOffset val="100"/>
        <c:noMultiLvlLbl val="0"/>
      </c:catAx>
      <c:valAx>
        <c:axId val="133916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5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[SCALER.xlsx]BASE!PivotTable26</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WEEKLY / MONTHLY TICKET DISTRIBUTION ACROSS HANDLERS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BASE!$CH$54:$CH$56</c:f>
              <c:strCache>
                <c:ptCount val="1"/>
                <c:pt idx="0">
                  <c:v>Complete - COUNT OF TICKET PENDING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BASE!$CG$57:$CG$68</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BASE!$CH$57:$CH$68</c:f>
              <c:numCache>
                <c:formatCode>General</c:formatCode>
                <c:ptCount val="11"/>
                <c:pt idx="0">
                  <c:v>32</c:v>
                </c:pt>
                <c:pt idx="1">
                  <c:v>17</c:v>
                </c:pt>
                <c:pt idx="2">
                  <c:v>18</c:v>
                </c:pt>
                <c:pt idx="3">
                  <c:v>14</c:v>
                </c:pt>
                <c:pt idx="4">
                  <c:v>18</c:v>
                </c:pt>
                <c:pt idx="5">
                  <c:v>16</c:v>
                </c:pt>
                <c:pt idx="6">
                  <c:v>12</c:v>
                </c:pt>
                <c:pt idx="7">
                  <c:v>13</c:v>
                </c:pt>
                <c:pt idx="8">
                  <c:v>15</c:v>
                </c:pt>
                <c:pt idx="9">
                  <c:v>11</c:v>
                </c:pt>
              </c:numCache>
            </c:numRef>
          </c:val>
          <c:extLst>
            <c:ext xmlns:c16="http://schemas.microsoft.com/office/drawing/2014/chart" uri="{C3380CC4-5D6E-409C-BE32-E72D297353CC}">
              <c16:uniqueId val="{00000000-28F9-4A49-AD31-48980E6FA921}"/>
            </c:ext>
          </c:extLst>
        </c:ser>
        <c:ser>
          <c:idx val="1"/>
          <c:order val="1"/>
          <c:tx>
            <c:strRef>
              <c:f>BASE!$CI$54:$CI$56</c:f>
              <c:strCache>
                <c:ptCount val="1"/>
                <c:pt idx="0">
                  <c:v>Complete - PERCENTAGE COMPLETE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BASE!$CG$57:$CG$68</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BASE!$CI$57:$CI$68</c:f>
              <c:numCache>
                <c:formatCode>0.00%</c:formatCode>
                <c:ptCount val="11"/>
                <c:pt idx="0">
                  <c:v>0.84210526315789469</c:v>
                </c:pt>
                <c:pt idx="1">
                  <c:v>0.68</c:v>
                </c:pt>
                <c:pt idx="2">
                  <c:v>0.78260869565217395</c:v>
                </c:pt>
                <c:pt idx="3">
                  <c:v>0.63636363636363635</c:v>
                </c:pt>
                <c:pt idx="4">
                  <c:v>0.81818181818181823</c:v>
                </c:pt>
                <c:pt idx="5">
                  <c:v>0.76190476190476186</c:v>
                </c:pt>
                <c:pt idx="6">
                  <c:v>0.63157894736842102</c:v>
                </c:pt>
                <c:pt idx="7">
                  <c:v>0.72222222222222221</c:v>
                </c:pt>
                <c:pt idx="8">
                  <c:v>0.88235294117647056</c:v>
                </c:pt>
                <c:pt idx="9">
                  <c:v>0.73333333333333328</c:v>
                </c:pt>
                <c:pt idx="10">
                  <c:v>0</c:v>
                </c:pt>
              </c:numCache>
            </c:numRef>
          </c:val>
          <c:extLst>
            <c:ext xmlns:c16="http://schemas.microsoft.com/office/drawing/2014/chart" uri="{C3380CC4-5D6E-409C-BE32-E72D297353CC}">
              <c16:uniqueId val="{00000001-28F9-4A49-AD31-48980E6FA921}"/>
            </c:ext>
          </c:extLst>
        </c:ser>
        <c:ser>
          <c:idx val="2"/>
          <c:order val="2"/>
          <c:tx>
            <c:strRef>
              <c:f>BASE!$CJ$54:$CJ$56</c:f>
              <c:strCache>
                <c:ptCount val="1"/>
                <c:pt idx="0">
                  <c:v>Pending - COUNT OF TICKET PENDING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BASE!$CG$57:$CG$68</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BASE!$CJ$57:$CJ$68</c:f>
              <c:numCache>
                <c:formatCode>General</c:formatCode>
                <c:ptCount val="11"/>
                <c:pt idx="0">
                  <c:v>6</c:v>
                </c:pt>
                <c:pt idx="1">
                  <c:v>8</c:v>
                </c:pt>
                <c:pt idx="2">
                  <c:v>5</c:v>
                </c:pt>
                <c:pt idx="3">
                  <c:v>8</c:v>
                </c:pt>
                <c:pt idx="4">
                  <c:v>4</c:v>
                </c:pt>
                <c:pt idx="5">
                  <c:v>5</c:v>
                </c:pt>
                <c:pt idx="6">
                  <c:v>7</c:v>
                </c:pt>
                <c:pt idx="7">
                  <c:v>5</c:v>
                </c:pt>
                <c:pt idx="8">
                  <c:v>2</c:v>
                </c:pt>
                <c:pt idx="9">
                  <c:v>4</c:v>
                </c:pt>
                <c:pt idx="10">
                  <c:v>5</c:v>
                </c:pt>
              </c:numCache>
            </c:numRef>
          </c:val>
          <c:extLst>
            <c:ext xmlns:c16="http://schemas.microsoft.com/office/drawing/2014/chart" uri="{C3380CC4-5D6E-409C-BE32-E72D297353CC}">
              <c16:uniqueId val="{00000002-28F9-4A49-AD31-48980E6FA921}"/>
            </c:ext>
          </c:extLst>
        </c:ser>
        <c:ser>
          <c:idx val="3"/>
          <c:order val="3"/>
          <c:tx>
            <c:strRef>
              <c:f>BASE!$CK$54:$CK$56</c:f>
              <c:strCache>
                <c:ptCount val="1"/>
                <c:pt idx="0">
                  <c:v>Pending - PERCENTAGE COMPLETE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BASE!$CG$57:$CG$68</c:f>
              <c:strCache>
                <c:ptCount val="11"/>
                <c:pt idx="0">
                  <c:v>Jessica Kim</c:v>
                </c:pt>
                <c:pt idx="1">
                  <c:v>Lisa Rodriguez</c:v>
                </c:pt>
                <c:pt idx="2">
                  <c:v>Amit Patel</c:v>
                </c:pt>
                <c:pt idx="3">
                  <c:v>Carlos Martinez</c:v>
                </c:pt>
                <c:pt idx="4">
                  <c:v>Mike Chen</c:v>
                </c:pt>
                <c:pt idx="5">
                  <c:v>Priya Sharma</c:v>
                </c:pt>
                <c:pt idx="6">
                  <c:v>Sneha Reddy</c:v>
                </c:pt>
                <c:pt idx="7">
                  <c:v>David Wilson</c:v>
                </c:pt>
                <c:pt idx="8">
                  <c:v>Rohit Gupta</c:v>
                </c:pt>
                <c:pt idx="9">
                  <c:v>Sarah Johnson</c:v>
                </c:pt>
                <c:pt idx="10">
                  <c:v>Unknown_Handler</c:v>
                </c:pt>
              </c:strCache>
            </c:strRef>
          </c:cat>
          <c:val>
            <c:numRef>
              <c:f>BASE!$CK$57:$CK$68</c:f>
              <c:numCache>
                <c:formatCode>0.00%</c:formatCode>
                <c:ptCount val="11"/>
                <c:pt idx="0">
                  <c:v>0.15789473684210525</c:v>
                </c:pt>
                <c:pt idx="1">
                  <c:v>0.32</c:v>
                </c:pt>
                <c:pt idx="2">
                  <c:v>0.21739130434782608</c:v>
                </c:pt>
                <c:pt idx="3">
                  <c:v>0.36363636363636365</c:v>
                </c:pt>
                <c:pt idx="4">
                  <c:v>0.18181818181818182</c:v>
                </c:pt>
                <c:pt idx="5">
                  <c:v>0.23809523809523808</c:v>
                </c:pt>
                <c:pt idx="6">
                  <c:v>0.36842105263157893</c:v>
                </c:pt>
                <c:pt idx="7">
                  <c:v>0.27777777777777779</c:v>
                </c:pt>
                <c:pt idx="8">
                  <c:v>0.11764705882352941</c:v>
                </c:pt>
                <c:pt idx="9">
                  <c:v>0.26666666666666666</c:v>
                </c:pt>
                <c:pt idx="10">
                  <c:v>1</c:v>
                </c:pt>
              </c:numCache>
            </c:numRef>
          </c:val>
          <c:extLst>
            <c:ext xmlns:c16="http://schemas.microsoft.com/office/drawing/2014/chart" uri="{C3380CC4-5D6E-409C-BE32-E72D297353CC}">
              <c16:uniqueId val="{00000003-28F9-4A49-AD31-48980E6FA921}"/>
            </c:ext>
          </c:extLst>
        </c:ser>
        <c:dLbls>
          <c:dLblPos val="ctr"/>
          <c:showLegendKey val="0"/>
          <c:showVal val="1"/>
          <c:showCatName val="0"/>
          <c:showSerName val="0"/>
          <c:showPercent val="0"/>
          <c:showBubbleSize val="0"/>
        </c:dLbls>
        <c:gapWidth val="150"/>
        <c:overlap val="100"/>
        <c:axId val="115374000"/>
        <c:axId val="115377360"/>
      </c:barChart>
      <c:catAx>
        <c:axId val="11537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7360"/>
        <c:crosses val="autoZero"/>
        <c:auto val="1"/>
        <c:lblAlgn val="ctr"/>
        <c:lblOffset val="100"/>
        <c:noMultiLvlLbl val="0"/>
      </c:catAx>
      <c:valAx>
        <c:axId val="11537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[SCALER.xlsx]BASE!PivotTable24</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WEEKLY / MONTHLY TICKET VOLUME</a:t>
            </a:r>
            <a:r>
              <a:rPr lang="en-IN" baseline="0"/>
              <a:t> ACROSS ISSUE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BASE!$CH$25:$CH$27</c:f>
              <c:strCache>
                <c:ptCount val="1"/>
                <c:pt idx="0">
                  <c:v>Complete - COUNT OF TICKET PENDING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BASE!$CG$28:$CG$32</c:f>
              <c:strCache>
                <c:ptCount val="4"/>
                <c:pt idx="0">
                  <c:v>Program &amp; Classroom (NPS)</c:v>
                </c:pt>
                <c:pt idx="1">
                  <c:v>Placement (NPS)</c:v>
                </c:pt>
                <c:pt idx="2">
                  <c:v>Others (NPS)</c:v>
                </c:pt>
                <c:pt idx="3">
                  <c:v>Tech (NPS)</c:v>
                </c:pt>
              </c:strCache>
            </c:strRef>
          </c:cat>
          <c:val>
            <c:numRef>
              <c:f>BASE!$CH$28:$CH$32</c:f>
              <c:numCache>
                <c:formatCode>General</c:formatCode>
                <c:ptCount val="4"/>
                <c:pt idx="0">
                  <c:v>62</c:v>
                </c:pt>
                <c:pt idx="1">
                  <c:v>57</c:v>
                </c:pt>
                <c:pt idx="2">
                  <c:v>27</c:v>
                </c:pt>
                <c:pt idx="3">
                  <c:v>20</c:v>
                </c:pt>
              </c:numCache>
            </c:numRef>
          </c:val>
          <c:extLst>
            <c:ext xmlns:c16="http://schemas.microsoft.com/office/drawing/2014/chart" uri="{C3380CC4-5D6E-409C-BE32-E72D297353CC}">
              <c16:uniqueId val="{00000000-CA82-42E1-A0BB-5B26C912DAA3}"/>
            </c:ext>
          </c:extLst>
        </c:ser>
        <c:ser>
          <c:idx val="1"/>
          <c:order val="1"/>
          <c:tx>
            <c:strRef>
              <c:f>BASE!$CI$25:$CI$27</c:f>
              <c:strCache>
                <c:ptCount val="1"/>
                <c:pt idx="0">
                  <c:v>Complete - PERCENTAGE COMPLETE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BASE!$CG$28:$CG$32</c:f>
              <c:strCache>
                <c:ptCount val="4"/>
                <c:pt idx="0">
                  <c:v>Program &amp; Classroom (NPS)</c:v>
                </c:pt>
                <c:pt idx="1">
                  <c:v>Placement (NPS)</c:v>
                </c:pt>
                <c:pt idx="2">
                  <c:v>Others (NPS)</c:v>
                </c:pt>
                <c:pt idx="3">
                  <c:v>Tech (NPS)</c:v>
                </c:pt>
              </c:strCache>
            </c:strRef>
          </c:cat>
          <c:val>
            <c:numRef>
              <c:f>BASE!$CI$28:$CI$32</c:f>
              <c:numCache>
                <c:formatCode>0.00%</c:formatCode>
                <c:ptCount val="4"/>
                <c:pt idx="0">
                  <c:v>0.77500000000000002</c:v>
                </c:pt>
                <c:pt idx="1">
                  <c:v>0.73076923076923073</c:v>
                </c:pt>
                <c:pt idx="2">
                  <c:v>0.72972972972972971</c:v>
                </c:pt>
                <c:pt idx="3">
                  <c:v>0.66666666666666663</c:v>
                </c:pt>
              </c:numCache>
            </c:numRef>
          </c:val>
          <c:extLst>
            <c:ext xmlns:c16="http://schemas.microsoft.com/office/drawing/2014/chart" uri="{C3380CC4-5D6E-409C-BE32-E72D297353CC}">
              <c16:uniqueId val="{00000001-CA82-42E1-A0BB-5B26C912DAA3}"/>
            </c:ext>
          </c:extLst>
        </c:ser>
        <c:ser>
          <c:idx val="2"/>
          <c:order val="2"/>
          <c:tx>
            <c:strRef>
              <c:f>BASE!$CJ$25:$CJ$27</c:f>
              <c:strCache>
                <c:ptCount val="1"/>
                <c:pt idx="0">
                  <c:v>Pending - COUNT OF TICKET PENDING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BASE!$CG$28:$CG$32</c:f>
              <c:strCache>
                <c:ptCount val="4"/>
                <c:pt idx="0">
                  <c:v>Program &amp; Classroom (NPS)</c:v>
                </c:pt>
                <c:pt idx="1">
                  <c:v>Placement (NPS)</c:v>
                </c:pt>
                <c:pt idx="2">
                  <c:v>Others (NPS)</c:v>
                </c:pt>
                <c:pt idx="3">
                  <c:v>Tech (NPS)</c:v>
                </c:pt>
              </c:strCache>
            </c:strRef>
          </c:cat>
          <c:val>
            <c:numRef>
              <c:f>BASE!$CJ$28:$CJ$32</c:f>
              <c:numCache>
                <c:formatCode>General</c:formatCode>
                <c:ptCount val="4"/>
                <c:pt idx="0">
                  <c:v>18</c:v>
                </c:pt>
                <c:pt idx="1">
                  <c:v>21</c:v>
                </c:pt>
                <c:pt idx="2">
                  <c:v>10</c:v>
                </c:pt>
                <c:pt idx="3">
                  <c:v>10</c:v>
                </c:pt>
              </c:numCache>
            </c:numRef>
          </c:val>
          <c:extLst>
            <c:ext xmlns:c16="http://schemas.microsoft.com/office/drawing/2014/chart" uri="{C3380CC4-5D6E-409C-BE32-E72D297353CC}">
              <c16:uniqueId val="{00000002-CA82-42E1-A0BB-5B26C912DAA3}"/>
            </c:ext>
          </c:extLst>
        </c:ser>
        <c:ser>
          <c:idx val="3"/>
          <c:order val="3"/>
          <c:tx>
            <c:strRef>
              <c:f>BASE!$CK$25:$CK$27</c:f>
              <c:strCache>
                <c:ptCount val="1"/>
                <c:pt idx="0">
                  <c:v>Pending - PERCENTAGE COMPLETE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BASE!$CG$28:$CG$32</c:f>
              <c:strCache>
                <c:ptCount val="4"/>
                <c:pt idx="0">
                  <c:v>Program &amp; Classroom (NPS)</c:v>
                </c:pt>
                <c:pt idx="1">
                  <c:v>Placement (NPS)</c:v>
                </c:pt>
                <c:pt idx="2">
                  <c:v>Others (NPS)</c:v>
                </c:pt>
                <c:pt idx="3">
                  <c:v>Tech (NPS)</c:v>
                </c:pt>
              </c:strCache>
            </c:strRef>
          </c:cat>
          <c:val>
            <c:numRef>
              <c:f>BASE!$CK$28:$CK$32</c:f>
              <c:numCache>
                <c:formatCode>0.00%</c:formatCode>
                <c:ptCount val="4"/>
                <c:pt idx="0">
                  <c:v>0.22500000000000001</c:v>
                </c:pt>
                <c:pt idx="1">
                  <c:v>0.26923076923076922</c:v>
                </c:pt>
                <c:pt idx="2">
                  <c:v>0.27027027027027029</c:v>
                </c:pt>
                <c:pt idx="3">
                  <c:v>0.33333333333333331</c:v>
                </c:pt>
              </c:numCache>
            </c:numRef>
          </c:val>
          <c:extLst>
            <c:ext xmlns:c16="http://schemas.microsoft.com/office/drawing/2014/chart" uri="{C3380CC4-5D6E-409C-BE32-E72D297353CC}">
              <c16:uniqueId val="{00000003-CA82-42E1-A0BB-5B26C912DAA3}"/>
            </c:ext>
          </c:extLst>
        </c:ser>
        <c:dLbls>
          <c:dLblPos val="ctr"/>
          <c:showLegendKey val="0"/>
          <c:showVal val="1"/>
          <c:showCatName val="0"/>
          <c:showSerName val="0"/>
          <c:showPercent val="0"/>
          <c:showBubbleSize val="0"/>
        </c:dLbls>
        <c:gapWidth val="150"/>
        <c:overlap val="100"/>
        <c:axId val="751609408"/>
        <c:axId val="751611328"/>
      </c:barChart>
      <c:catAx>
        <c:axId val="75160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11328"/>
        <c:crosses val="autoZero"/>
        <c:auto val="1"/>
        <c:lblAlgn val="ctr"/>
        <c:lblOffset val="100"/>
        <c:noMultiLvlLbl val="0"/>
      </c:catAx>
      <c:valAx>
        <c:axId val="751611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0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[SCALER.xlsx]BASE!PivotTable23</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WEEKLY / MONTHLU TIKCET DISTRIBUTION</a:t>
            </a:r>
            <a:r>
              <a:rPr lang="en-IN" baseline="0"/>
              <a:t> ACROSS PROGRAMMED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schemeClr>
          </a:solidFill>
          <a:ln>
            <a:noFill/>
          </a:ln>
          <a:effectLst/>
        </c:spPr>
        <c:dLbl>
          <c:idx val="0"/>
          <c:layout>
            <c:manualLayout>
              <c:x val="0"/>
              <c:y val="3.3086259488573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schemeClr>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schemeClr>
          </a:solidFill>
          <a:ln>
            <a:noFill/>
          </a:ln>
          <a:effectLst/>
        </c:spPr>
        <c:dLbl>
          <c:idx val="0"/>
          <c:layout>
            <c:manualLayout>
              <c:x val="0"/>
              <c:y val="3.3086259488573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schemeClr>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60000"/>
            </a:schemeClr>
          </a:solidFill>
          <a:ln>
            <a:noFill/>
          </a:ln>
          <a:effectLst/>
        </c:spPr>
        <c:dLbl>
          <c:idx val="0"/>
          <c:layout>
            <c:manualLayout>
              <c:x val="0"/>
              <c:y val="3.3086259488573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60000"/>
            </a:schemeClr>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60000"/>
            </a:schemeClr>
          </a:solidFill>
          <a:ln>
            <a:noFill/>
          </a:ln>
          <a:effectLst/>
        </c:spPr>
        <c:dLbl>
          <c:idx val="0"/>
          <c:layout>
            <c:manualLayout>
              <c:x val="0"/>
              <c:y val="3.3086259488573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60000"/>
            </a:schemeClr>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60000"/>
            </a:schemeClr>
          </a:solidFill>
          <a:ln>
            <a:noFill/>
          </a:ln>
          <a:effectLst/>
        </c:spPr>
        <c:dLbl>
          <c:idx val="0"/>
          <c:layout>
            <c:manualLayout>
              <c:x val="0"/>
              <c:y val="3.3086259488573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60000"/>
            </a:schemeClr>
          </a:solidFill>
          <a:ln>
            <a:noFill/>
          </a:ln>
          <a:effectLst/>
        </c:spPr>
        <c:dLbl>
          <c:idx val="0"/>
          <c:layout>
            <c:manualLayout>
              <c:x val="0"/>
              <c:y val="3.3086259488573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BASE!$CH$14:$CH$16</c:f>
              <c:strCache>
                <c:ptCount val="1"/>
                <c:pt idx="0">
                  <c:v>Complete - COUNT OF TICKET PENDING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BASE!$CG$17:$CG$21</c:f>
              <c:strCache>
                <c:ptCount val="4"/>
                <c:pt idx="0">
                  <c:v>DSML</c:v>
                </c:pt>
                <c:pt idx="1">
                  <c:v>Academy</c:v>
                </c:pt>
                <c:pt idx="2">
                  <c:v>DevOps</c:v>
                </c:pt>
                <c:pt idx="3">
                  <c:v>AIML</c:v>
                </c:pt>
              </c:strCache>
            </c:strRef>
          </c:cat>
          <c:val>
            <c:numRef>
              <c:f>BASE!$CH$17:$CH$21</c:f>
              <c:numCache>
                <c:formatCode>General</c:formatCode>
                <c:ptCount val="4"/>
                <c:pt idx="0">
                  <c:v>45</c:v>
                </c:pt>
                <c:pt idx="1">
                  <c:v>46</c:v>
                </c:pt>
                <c:pt idx="2">
                  <c:v>37</c:v>
                </c:pt>
                <c:pt idx="3">
                  <c:v>38</c:v>
                </c:pt>
              </c:numCache>
            </c:numRef>
          </c:val>
          <c:extLst>
            <c:ext xmlns:c16="http://schemas.microsoft.com/office/drawing/2014/chart" uri="{C3380CC4-5D6E-409C-BE32-E72D297353CC}">
              <c16:uniqueId val="{00000000-AF65-4B03-BBB7-B796A3D2CDA9}"/>
            </c:ext>
          </c:extLst>
        </c:ser>
        <c:ser>
          <c:idx val="1"/>
          <c:order val="1"/>
          <c:tx>
            <c:strRef>
              <c:f>BASE!$CI$14:$CI$16</c:f>
              <c:strCache>
                <c:ptCount val="1"/>
                <c:pt idx="0">
                  <c:v>Complete - PERCENTAGE COMPLETE</c:v>
                </c:pt>
              </c:strCache>
            </c:strRef>
          </c:tx>
          <c:spPr>
            <a:solidFill>
              <a:schemeClr val="accent5"/>
            </a:solidFill>
            <a:ln>
              <a:noFill/>
            </a:ln>
            <a:effectLst/>
          </c:spPr>
          <c:invertIfNegative val="0"/>
          <c:dLbls>
            <c:dLbl>
              <c:idx val="0"/>
              <c:layout>
                <c:manualLayout>
                  <c:x val="0"/>
                  <c:y val="3.308625948857347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65-4B03-BBB7-B796A3D2CD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BASE!$CG$17:$CG$21</c:f>
              <c:strCache>
                <c:ptCount val="4"/>
                <c:pt idx="0">
                  <c:v>DSML</c:v>
                </c:pt>
                <c:pt idx="1">
                  <c:v>Academy</c:v>
                </c:pt>
                <c:pt idx="2">
                  <c:v>DevOps</c:v>
                </c:pt>
                <c:pt idx="3">
                  <c:v>AIML</c:v>
                </c:pt>
              </c:strCache>
            </c:strRef>
          </c:cat>
          <c:val>
            <c:numRef>
              <c:f>BASE!$CI$17:$CI$21</c:f>
              <c:numCache>
                <c:formatCode>0.00%</c:formatCode>
                <c:ptCount val="4"/>
                <c:pt idx="0">
                  <c:v>0.7142857142857143</c:v>
                </c:pt>
                <c:pt idx="1">
                  <c:v>0.73015873015873012</c:v>
                </c:pt>
                <c:pt idx="2">
                  <c:v>0.71153846153846156</c:v>
                </c:pt>
                <c:pt idx="3">
                  <c:v>0.80851063829787229</c:v>
                </c:pt>
              </c:numCache>
            </c:numRef>
          </c:val>
          <c:extLst>
            <c:ext xmlns:c16="http://schemas.microsoft.com/office/drawing/2014/chart" uri="{C3380CC4-5D6E-409C-BE32-E72D297353CC}">
              <c16:uniqueId val="{00000002-AF65-4B03-BBB7-B796A3D2CDA9}"/>
            </c:ext>
          </c:extLst>
        </c:ser>
        <c:ser>
          <c:idx val="2"/>
          <c:order val="2"/>
          <c:tx>
            <c:strRef>
              <c:f>BASE!$CJ$14:$CJ$16</c:f>
              <c:strCache>
                <c:ptCount val="1"/>
                <c:pt idx="0">
                  <c:v>Pending - COUNT OF TICKET PENDING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BASE!$CG$17:$CG$21</c:f>
              <c:strCache>
                <c:ptCount val="4"/>
                <c:pt idx="0">
                  <c:v>DSML</c:v>
                </c:pt>
                <c:pt idx="1">
                  <c:v>Academy</c:v>
                </c:pt>
                <c:pt idx="2">
                  <c:v>DevOps</c:v>
                </c:pt>
                <c:pt idx="3">
                  <c:v>AIML</c:v>
                </c:pt>
              </c:strCache>
            </c:strRef>
          </c:cat>
          <c:val>
            <c:numRef>
              <c:f>BASE!$CJ$17:$CJ$21</c:f>
              <c:numCache>
                <c:formatCode>General</c:formatCode>
                <c:ptCount val="4"/>
                <c:pt idx="0">
                  <c:v>18</c:v>
                </c:pt>
                <c:pt idx="1">
                  <c:v>17</c:v>
                </c:pt>
                <c:pt idx="2">
                  <c:v>15</c:v>
                </c:pt>
                <c:pt idx="3">
                  <c:v>9</c:v>
                </c:pt>
              </c:numCache>
            </c:numRef>
          </c:val>
          <c:extLst>
            <c:ext xmlns:c16="http://schemas.microsoft.com/office/drawing/2014/chart" uri="{C3380CC4-5D6E-409C-BE32-E72D297353CC}">
              <c16:uniqueId val="{00000003-AF65-4B03-BBB7-B796A3D2CDA9}"/>
            </c:ext>
          </c:extLst>
        </c:ser>
        <c:ser>
          <c:idx val="3"/>
          <c:order val="3"/>
          <c:tx>
            <c:strRef>
              <c:f>BASE!$CK$14:$CK$16</c:f>
              <c:strCache>
                <c:ptCount val="1"/>
                <c:pt idx="0">
                  <c:v>Pending - PERCENTAGE COMPLETE</c:v>
                </c:pt>
              </c:strCache>
            </c:strRef>
          </c:tx>
          <c:spPr>
            <a:solidFill>
              <a:schemeClr val="accent6">
                <a:lumMod val="60000"/>
              </a:schemeClr>
            </a:solidFill>
            <a:ln>
              <a:noFill/>
            </a:ln>
            <a:effectLst/>
          </c:spPr>
          <c:invertIfNegative val="0"/>
          <c:dLbls>
            <c:dLbl>
              <c:idx val="0"/>
              <c:layout>
                <c:manualLayout>
                  <c:x val="0"/>
                  <c:y val="3.308625948857351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65-4B03-BBB7-B796A3D2CDA9}"/>
                </c:ext>
              </c:extLst>
            </c:dLbl>
            <c:dLbl>
              <c:idx val="2"/>
              <c:layout>
                <c:manualLayout>
                  <c:x val="0"/>
                  <c:y val="3.308625948857347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65-4B03-BBB7-B796A3D2CD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BASE!$CG$17:$CG$21</c:f>
              <c:strCache>
                <c:ptCount val="4"/>
                <c:pt idx="0">
                  <c:v>DSML</c:v>
                </c:pt>
                <c:pt idx="1">
                  <c:v>Academy</c:v>
                </c:pt>
                <c:pt idx="2">
                  <c:v>DevOps</c:v>
                </c:pt>
                <c:pt idx="3">
                  <c:v>AIML</c:v>
                </c:pt>
              </c:strCache>
            </c:strRef>
          </c:cat>
          <c:val>
            <c:numRef>
              <c:f>BASE!$CK$17:$CK$21</c:f>
              <c:numCache>
                <c:formatCode>0.00%</c:formatCode>
                <c:ptCount val="4"/>
                <c:pt idx="0">
                  <c:v>0.2857142857142857</c:v>
                </c:pt>
                <c:pt idx="1">
                  <c:v>0.26984126984126983</c:v>
                </c:pt>
                <c:pt idx="2">
                  <c:v>0.28846153846153844</c:v>
                </c:pt>
                <c:pt idx="3">
                  <c:v>0.19148936170212766</c:v>
                </c:pt>
              </c:numCache>
            </c:numRef>
          </c:val>
          <c:extLst>
            <c:ext xmlns:c16="http://schemas.microsoft.com/office/drawing/2014/chart" uri="{C3380CC4-5D6E-409C-BE32-E72D297353CC}">
              <c16:uniqueId val="{00000006-AF65-4B03-BBB7-B796A3D2CDA9}"/>
            </c:ext>
          </c:extLst>
        </c:ser>
        <c:dLbls>
          <c:dLblPos val="ctr"/>
          <c:showLegendKey val="0"/>
          <c:showVal val="1"/>
          <c:showCatName val="0"/>
          <c:showSerName val="0"/>
          <c:showPercent val="0"/>
          <c:showBubbleSize val="0"/>
        </c:dLbls>
        <c:gapWidth val="150"/>
        <c:overlap val="100"/>
        <c:axId val="722517760"/>
        <c:axId val="722491360"/>
      </c:barChart>
      <c:catAx>
        <c:axId val="72251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91360"/>
        <c:crosses val="autoZero"/>
        <c:auto val="1"/>
        <c:lblAlgn val="ctr"/>
        <c:lblOffset val="100"/>
        <c:noMultiLvlLbl val="0"/>
      </c:catAx>
      <c:valAx>
        <c:axId val="722491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1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8" Type="http://schemas.openxmlformats.org/officeDocument/2006/relationships/chart" Target="../charts/chart8.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5.xml"/><Relationship Id="rId1" Type="http://schemas.openxmlformats.org/officeDocument/2006/relationships/chart" Target="../charts/chart3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43.xml"/><Relationship Id="rId3" Type="http://schemas.openxmlformats.org/officeDocument/2006/relationships/chart" Target="../charts/chart38.xml"/><Relationship Id="rId7" Type="http://schemas.openxmlformats.org/officeDocument/2006/relationships/chart" Target="../charts/chart42.xml"/><Relationship Id="rId2" Type="http://schemas.openxmlformats.org/officeDocument/2006/relationships/chart" Target="../charts/chart37.xml"/><Relationship Id="rId1" Type="http://schemas.openxmlformats.org/officeDocument/2006/relationships/chart" Target="../charts/chart36.xml"/><Relationship Id="rId6" Type="http://schemas.openxmlformats.org/officeDocument/2006/relationships/chart" Target="../charts/chart41.xml"/><Relationship Id="rId5" Type="http://schemas.openxmlformats.org/officeDocument/2006/relationships/chart" Target="../charts/chart40.xml"/><Relationship Id="rId4" Type="http://schemas.openxmlformats.org/officeDocument/2006/relationships/chart" Target="../charts/chart3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51.xml"/><Relationship Id="rId13" Type="http://schemas.openxmlformats.org/officeDocument/2006/relationships/chart" Target="../charts/chart56.xml"/><Relationship Id="rId18" Type="http://schemas.openxmlformats.org/officeDocument/2006/relationships/chart" Target="../charts/chart61.xml"/><Relationship Id="rId3" Type="http://schemas.openxmlformats.org/officeDocument/2006/relationships/chart" Target="../charts/chart46.xml"/><Relationship Id="rId21" Type="http://schemas.openxmlformats.org/officeDocument/2006/relationships/chart" Target="../charts/chart64.xml"/><Relationship Id="rId7" Type="http://schemas.openxmlformats.org/officeDocument/2006/relationships/chart" Target="../charts/chart50.xml"/><Relationship Id="rId12" Type="http://schemas.openxmlformats.org/officeDocument/2006/relationships/chart" Target="../charts/chart55.xml"/><Relationship Id="rId17" Type="http://schemas.openxmlformats.org/officeDocument/2006/relationships/chart" Target="../charts/chart60.xml"/><Relationship Id="rId2" Type="http://schemas.openxmlformats.org/officeDocument/2006/relationships/chart" Target="../charts/chart45.xml"/><Relationship Id="rId16" Type="http://schemas.openxmlformats.org/officeDocument/2006/relationships/chart" Target="../charts/chart59.xml"/><Relationship Id="rId20" Type="http://schemas.openxmlformats.org/officeDocument/2006/relationships/chart" Target="../charts/chart63.xml"/><Relationship Id="rId1" Type="http://schemas.openxmlformats.org/officeDocument/2006/relationships/chart" Target="../charts/chart44.xml"/><Relationship Id="rId6" Type="http://schemas.openxmlformats.org/officeDocument/2006/relationships/chart" Target="../charts/chart49.xml"/><Relationship Id="rId11" Type="http://schemas.openxmlformats.org/officeDocument/2006/relationships/chart" Target="../charts/chart54.xml"/><Relationship Id="rId24" Type="http://schemas.openxmlformats.org/officeDocument/2006/relationships/chart" Target="../charts/chart67.xml"/><Relationship Id="rId5" Type="http://schemas.openxmlformats.org/officeDocument/2006/relationships/chart" Target="../charts/chart48.xml"/><Relationship Id="rId15" Type="http://schemas.openxmlformats.org/officeDocument/2006/relationships/chart" Target="../charts/chart58.xml"/><Relationship Id="rId23" Type="http://schemas.openxmlformats.org/officeDocument/2006/relationships/chart" Target="../charts/chart66.xml"/><Relationship Id="rId10" Type="http://schemas.openxmlformats.org/officeDocument/2006/relationships/chart" Target="../charts/chart53.xml"/><Relationship Id="rId19" Type="http://schemas.openxmlformats.org/officeDocument/2006/relationships/chart" Target="../charts/chart62.xml"/><Relationship Id="rId4" Type="http://schemas.openxmlformats.org/officeDocument/2006/relationships/chart" Target="../charts/chart47.xml"/><Relationship Id="rId9" Type="http://schemas.openxmlformats.org/officeDocument/2006/relationships/chart" Target="../charts/chart52.xml"/><Relationship Id="rId14" Type="http://schemas.openxmlformats.org/officeDocument/2006/relationships/chart" Target="../charts/chart57.xml"/><Relationship Id="rId22" Type="http://schemas.openxmlformats.org/officeDocument/2006/relationships/chart" Target="../charts/chart65.xml"/></Relationships>
</file>

<file path=xl/drawings/drawing1.xml><?xml version="1.0" encoding="utf-8"?>
<xdr:wsDr xmlns:xdr="http://schemas.openxmlformats.org/drawingml/2006/spreadsheetDrawing" xmlns:a="http://schemas.openxmlformats.org/drawingml/2006/main">
  <xdr:twoCellAnchor>
    <xdr:from>
      <xdr:col>135</xdr:col>
      <xdr:colOff>3734</xdr:colOff>
      <xdr:row>26</xdr:row>
      <xdr:rowOff>59615</xdr:rowOff>
    </xdr:from>
    <xdr:to>
      <xdr:col>145</xdr:col>
      <xdr:colOff>9411</xdr:colOff>
      <xdr:row>87</xdr:row>
      <xdr:rowOff>95474</xdr:rowOff>
    </xdr:to>
    <xdr:grpSp>
      <xdr:nvGrpSpPr>
        <xdr:cNvPr id="8" name="Group 7">
          <a:extLst>
            <a:ext uri="{FF2B5EF4-FFF2-40B4-BE49-F238E27FC236}">
              <a16:creationId xmlns:a16="http://schemas.microsoft.com/office/drawing/2014/main" id="{76CB23F1-AA21-A3E4-6552-60B22461492A}"/>
            </a:ext>
          </a:extLst>
        </xdr:cNvPr>
        <xdr:cNvGrpSpPr/>
      </xdr:nvGrpSpPr>
      <xdr:grpSpPr>
        <a:xfrm>
          <a:off x="136532703" y="4750678"/>
          <a:ext cx="8637708" cy="10930077"/>
          <a:chOff x="75138504" y="2681792"/>
          <a:chExt cx="8014635" cy="4734708"/>
        </a:xfrm>
      </xdr:grpSpPr>
      <xdr:grpSp>
        <xdr:nvGrpSpPr>
          <xdr:cNvPr id="6" name="Group 5">
            <a:extLst>
              <a:ext uri="{FF2B5EF4-FFF2-40B4-BE49-F238E27FC236}">
                <a16:creationId xmlns:a16="http://schemas.microsoft.com/office/drawing/2014/main" id="{EE3C72F8-B397-43AC-4092-F8BD4ACDC574}"/>
              </a:ext>
            </a:extLst>
          </xdr:cNvPr>
          <xdr:cNvGrpSpPr/>
        </xdr:nvGrpSpPr>
        <xdr:grpSpPr>
          <a:xfrm>
            <a:off x="75138504" y="2681792"/>
            <a:ext cx="8014635" cy="4734708"/>
            <a:chOff x="73944144" y="476101"/>
            <a:chExt cx="8021171" cy="5037267"/>
          </a:xfrm>
        </xdr:grpSpPr>
        <xdr:grpSp>
          <xdr:nvGrpSpPr>
            <xdr:cNvPr id="3" name="Group 2">
              <a:extLst>
                <a:ext uri="{FF2B5EF4-FFF2-40B4-BE49-F238E27FC236}">
                  <a16:creationId xmlns:a16="http://schemas.microsoft.com/office/drawing/2014/main" id="{25745087-A27D-DBA8-CE5D-59EF7FA64F8A}"/>
                </a:ext>
              </a:extLst>
            </xdr:cNvPr>
            <xdr:cNvGrpSpPr/>
          </xdr:nvGrpSpPr>
          <xdr:grpSpPr>
            <a:xfrm>
              <a:off x="73944144" y="476101"/>
              <a:ext cx="8021171" cy="5037267"/>
              <a:chOff x="73766979" y="479911"/>
              <a:chExt cx="8049111" cy="4839147"/>
            </a:xfrm>
          </xdr:grpSpPr>
          <xdr:sp macro="" textlink="">
            <xdr:nvSpPr>
              <xdr:cNvPr id="20" name="Rectangle 19">
                <a:extLst>
                  <a:ext uri="{FF2B5EF4-FFF2-40B4-BE49-F238E27FC236}">
                    <a16:creationId xmlns:a16="http://schemas.microsoft.com/office/drawing/2014/main" id="{AAF72815-EBCA-94C1-8648-F39620837F20}"/>
                  </a:ext>
                </a:extLst>
              </xdr:cNvPr>
              <xdr:cNvSpPr/>
            </xdr:nvSpPr>
            <xdr:spPr>
              <a:xfrm>
                <a:off x="73766979" y="479911"/>
                <a:ext cx="8049111" cy="483914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1" name="Chart 20">
                <a:extLst>
                  <a:ext uri="{FF2B5EF4-FFF2-40B4-BE49-F238E27FC236}">
                    <a16:creationId xmlns:a16="http://schemas.microsoft.com/office/drawing/2014/main" id="{6EEDEE87-ACA6-4D41-AD6B-C91BAB173139}"/>
                  </a:ext>
                </a:extLst>
              </xdr:cNvPr>
              <xdr:cNvGraphicFramePr>
                <a:graphicFrameLocks/>
              </xdr:cNvGraphicFramePr>
            </xdr:nvGraphicFramePr>
            <xdr:xfrm>
              <a:off x="76744456" y="1229361"/>
              <a:ext cx="2744993" cy="186824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2" name="Chart 21">
                <a:extLst>
                  <a:ext uri="{FF2B5EF4-FFF2-40B4-BE49-F238E27FC236}">
                    <a16:creationId xmlns:a16="http://schemas.microsoft.com/office/drawing/2014/main" id="{46BA7596-8CFA-4986-92FE-873EE66DC127}"/>
                  </a:ext>
                </a:extLst>
              </xdr:cNvPr>
              <xdr:cNvGraphicFramePr>
                <a:graphicFrameLocks/>
              </xdr:cNvGraphicFramePr>
            </xdr:nvGraphicFramePr>
            <xdr:xfrm>
              <a:off x="73858419" y="1249681"/>
              <a:ext cx="2740212" cy="186824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3" name="Chart 22">
                <a:extLst>
                  <a:ext uri="{FF2B5EF4-FFF2-40B4-BE49-F238E27FC236}">
                    <a16:creationId xmlns:a16="http://schemas.microsoft.com/office/drawing/2014/main" id="{3F663957-7CBA-4A31-BB62-6010CA07192A}"/>
                  </a:ext>
                </a:extLst>
              </xdr:cNvPr>
              <xdr:cNvGraphicFramePr>
                <a:graphicFrameLocks/>
              </xdr:cNvGraphicFramePr>
            </xdr:nvGraphicFramePr>
            <xdr:xfrm>
              <a:off x="73858419" y="3250005"/>
              <a:ext cx="2740212" cy="186465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 name="Chart 1">
                <a:extLst>
                  <a:ext uri="{FF2B5EF4-FFF2-40B4-BE49-F238E27FC236}">
                    <a16:creationId xmlns:a16="http://schemas.microsoft.com/office/drawing/2014/main" id="{6D91ABDB-1D84-4BF5-A3A0-86BCFF519A31}"/>
                  </a:ext>
                </a:extLst>
              </xdr:cNvPr>
              <xdr:cNvGraphicFramePr>
                <a:graphicFrameLocks/>
              </xdr:cNvGraphicFramePr>
            </xdr:nvGraphicFramePr>
            <xdr:xfrm>
              <a:off x="76774339" y="3273911"/>
              <a:ext cx="2743200" cy="1828800"/>
            </xdr:xfrm>
            <a:graphic>
              <a:graphicData uri="http://schemas.openxmlformats.org/drawingml/2006/chart">
                <c:chart xmlns:c="http://schemas.openxmlformats.org/drawingml/2006/chart" xmlns:r="http://schemas.openxmlformats.org/officeDocument/2006/relationships" r:id="rId4"/>
              </a:graphicData>
            </a:graphic>
          </xdr:graphicFrame>
        </xdr:grpSp>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9B074DFD-FFC7-58F7-C9C5-0F41D417636A}"/>
                    </a:ext>
                  </a:extLst>
                </xdr:cNvPr>
                <xdr:cNvGraphicFramePr/>
              </xdr:nvGraphicFramePr>
              <xdr:xfrm>
                <a:off x="79876650" y="1271271"/>
                <a:ext cx="1812925" cy="126873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2921203" y="6476072"/>
                  <a:ext cx="1952273" cy="2752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WEEK">
                  <a:extLst>
                    <a:ext uri="{FF2B5EF4-FFF2-40B4-BE49-F238E27FC236}">
                      <a16:creationId xmlns:a16="http://schemas.microsoft.com/office/drawing/2014/main" id="{1EC84A81-2683-9C24-4884-FC06C0F0D945}"/>
                    </a:ext>
                  </a:extLst>
                </xdr:cNvPr>
                <xdr:cNvGraphicFramePr/>
              </xdr:nvGraphicFramePr>
              <xdr:xfrm>
                <a:off x="79896335" y="2734945"/>
                <a:ext cx="1812925" cy="1499970"/>
              </xdr:xfrm>
              <a:graphic>
                <a:graphicData uri="http://schemas.microsoft.com/office/drawing/2010/slicer">
                  <sle:slicer xmlns:sle="http://schemas.microsoft.com/office/drawing/2010/slicer" name="WEEK"/>
                </a:graphicData>
              </a:graphic>
            </xdr:graphicFrame>
          </mc:Choice>
          <mc:Fallback>
            <xdr:sp macro="" textlink="">
              <xdr:nvSpPr>
                <xdr:cNvPr id="0" name=""/>
                <xdr:cNvSpPr>
                  <a:spLocks noTextEdit="1"/>
                </xdr:cNvSpPr>
              </xdr:nvSpPr>
              <xdr:spPr>
                <a:xfrm>
                  <a:off x="142942402" y="9652014"/>
                  <a:ext cx="1952273" cy="3254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7" name="Rectangle 6">
            <a:extLst>
              <a:ext uri="{FF2B5EF4-FFF2-40B4-BE49-F238E27FC236}">
                <a16:creationId xmlns:a16="http://schemas.microsoft.com/office/drawing/2014/main" id="{29DADF9C-2291-ED8E-E526-7EC28498992C}"/>
              </a:ext>
            </a:extLst>
          </xdr:cNvPr>
          <xdr:cNvSpPr/>
        </xdr:nvSpPr>
        <xdr:spPr>
          <a:xfrm>
            <a:off x="75305397" y="2797735"/>
            <a:ext cx="5583331" cy="52200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t>Overall Ticket Overview</a:t>
            </a:r>
          </a:p>
        </xdr:txBody>
      </xdr:sp>
    </xdr:grpSp>
    <xdr:clientData/>
  </xdr:twoCellAnchor>
  <xdr:twoCellAnchor>
    <xdr:from>
      <xdr:col>150</xdr:col>
      <xdr:colOff>164336</xdr:colOff>
      <xdr:row>36</xdr:row>
      <xdr:rowOff>55212</xdr:rowOff>
    </xdr:from>
    <xdr:to>
      <xdr:col>163</xdr:col>
      <xdr:colOff>150223</xdr:colOff>
      <xdr:row>75</xdr:row>
      <xdr:rowOff>115388</xdr:rowOff>
    </xdr:to>
    <xdr:grpSp>
      <xdr:nvGrpSpPr>
        <xdr:cNvPr id="31" name="Group 30">
          <a:extLst>
            <a:ext uri="{FF2B5EF4-FFF2-40B4-BE49-F238E27FC236}">
              <a16:creationId xmlns:a16="http://schemas.microsoft.com/office/drawing/2014/main" id="{8CEF2F3C-5B91-8451-704B-2BB2F7679625}"/>
            </a:ext>
          </a:extLst>
        </xdr:cNvPr>
        <xdr:cNvGrpSpPr/>
      </xdr:nvGrpSpPr>
      <xdr:grpSpPr>
        <a:xfrm>
          <a:off x="148361430" y="6532212"/>
          <a:ext cx="11582574" cy="7025332"/>
          <a:chOff x="80856507" y="431132"/>
          <a:chExt cx="17532207" cy="7134439"/>
        </a:xfrm>
      </xdr:grpSpPr>
      <xdr:grpSp>
        <xdr:nvGrpSpPr>
          <xdr:cNvPr id="29" name="Group 28">
            <a:extLst>
              <a:ext uri="{FF2B5EF4-FFF2-40B4-BE49-F238E27FC236}">
                <a16:creationId xmlns:a16="http://schemas.microsoft.com/office/drawing/2014/main" id="{5E730C58-37B4-4DB6-583B-73D3660C1A23}"/>
              </a:ext>
            </a:extLst>
          </xdr:cNvPr>
          <xdr:cNvGrpSpPr/>
        </xdr:nvGrpSpPr>
        <xdr:grpSpPr>
          <a:xfrm>
            <a:off x="80856507" y="431132"/>
            <a:ext cx="17532207" cy="7134439"/>
            <a:chOff x="80892792" y="467418"/>
            <a:chExt cx="17532207" cy="7134439"/>
          </a:xfrm>
        </xdr:grpSpPr>
        <xdr:grpSp>
          <xdr:nvGrpSpPr>
            <xdr:cNvPr id="18" name="Group 17">
              <a:extLst>
                <a:ext uri="{FF2B5EF4-FFF2-40B4-BE49-F238E27FC236}">
                  <a16:creationId xmlns:a16="http://schemas.microsoft.com/office/drawing/2014/main" id="{D679C5C0-1F68-0714-891D-E345A759FE36}"/>
                </a:ext>
              </a:extLst>
            </xdr:cNvPr>
            <xdr:cNvGrpSpPr/>
          </xdr:nvGrpSpPr>
          <xdr:grpSpPr>
            <a:xfrm>
              <a:off x="80892792" y="467418"/>
              <a:ext cx="17532207" cy="7134439"/>
              <a:chOff x="78461649" y="467418"/>
              <a:chExt cx="14828921" cy="7134439"/>
            </a:xfrm>
          </xdr:grpSpPr>
          <xdr:sp macro="" textlink="">
            <xdr:nvSpPr>
              <xdr:cNvPr id="13" name="Rectangle 12">
                <a:extLst>
                  <a:ext uri="{FF2B5EF4-FFF2-40B4-BE49-F238E27FC236}">
                    <a16:creationId xmlns:a16="http://schemas.microsoft.com/office/drawing/2014/main" id="{FA4C3DA1-0282-DB01-40AB-1881057446D5}"/>
                  </a:ext>
                </a:extLst>
              </xdr:cNvPr>
              <xdr:cNvSpPr/>
            </xdr:nvSpPr>
            <xdr:spPr>
              <a:xfrm>
                <a:off x="78461649" y="467418"/>
                <a:ext cx="14828921" cy="713443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4" name="Chart 13">
                <a:extLst>
                  <a:ext uri="{FF2B5EF4-FFF2-40B4-BE49-F238E27FC236}">
                    <a16:creationId xmlns:a16="http://schemas.microsoft.com/office/drawing/2014/main" id="{D9A327FC-601F-46B2-8354-E0A412828644}"/>
                  </a:ext>
                </a:extLst>
              </xdr:cNvPr>
              <xdr:cNvGraphicFramePr>
                <a:graphicFrameLocks/>
              </xdr:cNvGraphicFramePr>
            </xdr:nvGraphicFramePr>
            <xdr:xfrm>
              <a:off x="78661222" y="1428990"/>
              <a:ext cx="4595246" cy="279536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5" name="Chart 14">
                <a:extLst>
                  <a:ext uri="{FF2B5EF4-FFF2-40B4-BE49-F238E27FC236}">
                    <a16:creationId xmlns:a16="http://schemas.microsoft.com/office/drawing/2014/main" id="{45B35E3E-DD41-4FC1-8C78-5BD2284C3FBC}"/>
                  </a:ext>
                </a:extLst>
              </xdr:cNvPr>
              <xdr:cNvGraphicFramePr>
                <a:graphicFrameLocks/>
              </xdr:cNvGraphicFramePr>
            </xdr:nvGraphicFramePr>
            <xdr:xfrm>
              <a:off x="78697507" y="4476990"/>
              <a:ext cx="4563496" cy="278572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6" name="Chart 15">
                <a:extLst>
                  <a:ext uri="{FF2B5EF4-FFF2-40B4-BE49-F238E27FC236}">
                    <a16:creationId xmlns:a16="http://schemas.microsoft.com/office/drawing/2014/main" id="{02BA3E93-C956-4AE8-A7C3-65763F985006}"/>
                  </a:ext>
                </a:extLst>
              </xdr:cNvPr>
              <xdr:cNvGraphicFramePr>
                <a:graphicFrameLocks/>
              </xdr:cNvGraphicFramePr>
            </xdr:nvGraphicFramePr>
            <xdr:xfrm>
              <a:off x="83505364" y="4495132"/>
              <a:ext cx="4595246" cy="2785722"/>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7" name="Chart 16">
                <a:extLst>
                  <a:ext uri="{FF2B5EF4-FFF2-40B4-BE49-F238E27FC236}">
                    <a16:creationId xmlns:a16="http://schemas.microsoft.com/office/drawing/2014/main" id="{134FFCA1-4731-4AB8-BA9A-A0D9159AF48B}"/>
                  </a:ext>
                </a:extLst>
              </xdr:cNvPr>
              <xdr:cNvGraphicFramePr>
                <a:graphicFrameLocks/>
              </xdr:cNvGraphicFramePr>
            </xdr:nvGraphicFramePr>
            <xdr:xfrm>
              <a:off x="83487222" y="1428990"/>
              <a:ext cx="4563496" cy="2785722"/>
            </xdr:xfrm>
            <a:graphic>
              <a:graphicData uri="http://schemas.openxmlformats.org/drawingml/2006/chart">
                <c:chart xmlns:c="http://schemas.openxmlformats.org/drawingml/2006/chart" xmlns:r="http://schemas.openxmlformats.org/officeDocument/2006/relationships" r:id="rId8"/>
              </a:graphicData>
            </a:graphic>
          </xdr:graphicFrame>
        </xdr:grpSp>
        <mc:AlternateContent xmlns:mc="http://schemas.openxmlformats.org/markup-compatibility/2006">
          <mc:Choice xmlns:a14="http://schemas.microsoft.com/office/drawing/2010/main" Requires="a14">
            <xdr:graphicFrame macro="">
              <xdr:nvGraphicFramePr>
                <xdr:cNvPr id="24" name="MONTH 2">
                  <a:extLst>
                    <a:ext uri="{FF2B5EF4-FFF2-40B4-BE49-F238E27FC236}">
                      <a16:creationId xmlns:a16="http://schemas.microsoft.com/office/drawing/2014/main" id="{0EEA0C1B-D6BC-6106-B6DB-82615BC272A3}"/>
                    </a:ext>
                  </a:extLst>
                </xdr:cNvPr>
                <xdr:cNvGraphicFramePr/>
              </xdr:nvGraphicFramePr>
              <xdr:xfrm>
                <a:off x="92328638" y="1447438"/>
                <a:ext cx="1828800" cy="2466975"/>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55916470" y="7497245"/>
                  <a:ext cx="1208189" cy="2429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5" name="WEEK 2">
                  <a:extLst>
                    <a:ext uri="{FF2B5EF4-FFF2-40B4-BE49-F238E27FC236}">
                      <a16:creationId xmlns:a16="http://schemas.microsoft.com/office/drawing/2014/main" id="{3271F680-3114-A826-AF94-F3E73C7CB828}"/>
                    </a:ext>
                  </a:extLst>
                </xdr:cNvPr>
                <xdr:cNvGraphicFramePr/>
              </xdr:nvGraphicFramePr>
              <xdr:xfrm>
                <a:off x="94332697" y="1437640"/>
                <a:ext cx="1828800" cy="2466975"/>
              </xdr:xfrm>
              <a:graphic>
                <a:graphicData uri="http://schemas.microsoft.com/office/drawing/2010/slicer">
                  <sle:slicer xmlns:sle="http://schemas.microsoft.com/office/drawing/2010/slicer" name="WEEK 2"/>
                </a:graphicData>
              </a:graphic>
            </xdr:graphicFrame>
          </mc:Choice>
          <mc:Fallback>
            <xdr:sp macro="" textlink="">
              <xdr:nvSpPr>
                <xdr:cNvPr id="0" name=""/>
                <xdr:cNvSpPr>
                  <a:spLocks noTextEdit="1"/>
                </xdr:cNvSpPr>
              </xdr:nvSpPr>
              <xdr:spPr>
                <a:xfrm>
                  <a:off x="157240443" y="7487596"/>
                  <a:ext cx="1208189" cy="2429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Assigned To">
                  <a:extLst>
                    <a:ext uri="{FF2B5EF4-FFF2-40B4-BE49-F238E27FC236}">
                      <a16:creationId xmlns:a16="http://schemas.microsoft.com/office/drawing/2014/main" id="{F0B7B7FE-2E62-6A66-7EC5-B5B88CCC2CCF}"/>
                    </a:ext>
                  </a:extLst>
                </xdr:cNvPr>
                <xdr:cNvGraphicFramePr/>
              </xdr:nvGraphicFramePr>
              <xdr:xfrm>
                <a:off x="96373043" y="1445985"/>
                <a:ext cx="1828800" cy="2466975"/>
              </xdr:xfrm>
              <a:graphic>
                <a:graphicData uri="http://schemas.microsoft.com/office/drawing/2010/slicer">
                  <sle:slicer xmlns:sle="http://schemas.microsoft.com/office/drawing/2010/slicer" name="Assigned To"/>
                </a:graphicData>
              </a:graphic>
            </xdr:graphicFrame>
          </mc:Choice>
          <mc:Fallback>
            <xdr:sp macro="" textlink="">
              <xdr:nvSpPr>
                <xdr:cNvPr id="0" name=""/>
                <xdr:cNvSpPr>
                  <a:spLocks noTextEdit="1"/>
                </xdr:cNvSpPr>
              </xdr:nvSpPr>
              <xdr:spPr>
                <a:xfrm>
                  <a:off x="158588388" y="7495814"/>
                  <a:ext cx="1208189" cy="2429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7" name="Disposition Folder Level 2">
                  <a:extLst>
                    <a:ext uri="{FF2B5EF4-FFF2-40B4-BE49-F238E27FC236}">
                      <a16:creationId xmlns:a16="http://schemas.microsoft.com/office/drawing/2014/main" id="{2DE38167-F779-34C6-8E8C-A7574528A336}"/>
                    </a:ext>
                  </a:extLst>
                </xdr:cNvPr>
                <xdr:cNvGraphicFramePr/>
              </xdr:nvGraphicFramePr>
              <xdr:xfrm>
                <a:off x="92353674" y="4139474"/>
                <a:ext cx="1828800" cy="2466975"/>
              </xdr:xfrm>
              <a:graphic>
                <a:graphicData uri="http://schemas.microsoft.com/office/drawing/2010/slicer">
                  <sle:slicer xmlns:sle="http://schemas.microsoft.com/office/drawing/2010/slicer" name="Disposition Folder Level 2"/>
                </a:graphicData>
              </a:graphic>
            </xdr:graphicFrame>
          </mc:Choice>
          <mc:Fallback>
            <xdr:sp macro="" textlink="">
              <xdr:nvSpPr>
                <xdr:cNvPr id="0" name=""/>
                <xdr:cNvSpPr>
                  <a:spLocks noTextEdit="1"/>
                </xdr:cNvSpPr>
              </xdr:nvSpPr>
              <xdr:spPr>
                <a:xfrm>
                  <a:off x="155933010" y="10148111"/>
                  <a:ext cx="1208189" cy="2429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8" name="Issue 2 - NPS">
                  <a:extLst>
                    <a:ext uri="{FF2B5EF4-FFF2-40B4-BE49-F238E27FC236}">
                      <a16:creationId xmlns:a16="http://schemas.microsoft.com/office/drawing/2014/main" id="{23636D1D-50E1-7902-1BAC-73719E5FB087}"/>
                    </a:ext>
                  </a:extLst>
                </xdr:cNvPr>
                <xdr:cNvGraphicFramePr/>
              </xdr:nvGraphicFramePr>
              <xdr:xfrm>
                <a:off x="94357735" y="4165963"/>
                <a:ext cx="1828800" cy="2466975"/>
              </xdr:xfrm>
              <a:graphic>
                <a:graphicData uri="http://schemas.microsoft.com/office/drawing/2010/slicer">
                  <sle:slicer xmlns:sle="http://schemas.microsoft.com/office/drawing/2010/slicer" name="Issue 2 - NPS"/>
                </a:graphicData>
              </a:graphic>
            </xdr:graphicFrame>
          </mc:Choice>
          <mc:Fallback>
            <xdr:sp macro="" textlink="">
              <xdr:nvSpPr>
                <xdr:cNvPr id="0" name=""/>
                <xdr:cNvSpPr>
                  <a:spLocks noTextEdit="1"/>
                </xdr:cNvSpPr>
              </xdr:nvSpPr>
              <xdr:spPr>
                <a:xfrm>
                  <a:off x="157256984" y="10174195"/>
                  <a:ext cx="1208189" cy="2429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30" name="Rectangle 29">
            <a:extLst>
              <a:ext uri="{FF2B5EF4-FFF2-40B4-BE49-F238E27FC236}">
                <a16:creationId xmlns:a16="http://schemas.microsoft.com/office/drawing/2014/main" id="{88F77EB4-4650-9EDE-30E1-49B682E89EE4}"/>
              </a:ext>
            </a:extLst>
          </xdr:cNvPr>
          <xdr:cNvSpPr/>
        </xdr:nvSpPr>
        <xdr:spPr>
          <a:xfrm>
            <a:off x="81116714" y="598714"/>
            <a:ext cx="11194143" cy="6894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bg1"/>
                </a:solidFill>
              </a:rPr>
              <a:t>PROGRAM</a:t>
            </a:r>
            <a:r>
              <a:rPr lang="en-IN" sz="3200" b="1" baseline="0">
                <a:solidFill>
                  <a:schemeClr val="bg1"/>
                </a:solidFill>
              </a:rPr>
              <a:t> OVERALL OVERVIEW </a:t>
            </a:r>
            <a:endParaRPr lang="en-IN" sz="3200" b="1">
              <a:solidFill>
                <a:schemeClr val="bg1"/>
              </a:solidFill>
            </a:endParaRPr>
          </a:p>
        </xdr:txBody>
      </xdr:sp>
    </xdr:grpSp>
    <xdr:clientData/>
  </xdr:twoCellAnchor>
  <xdr:twoCellAnchor>
    <xdr:from>
      <xdr:col>57</xdr:col>
      <xdr:colOff>730044</xdr:colOff>
      <xdr:row>1</xdr:row>
      <xdr:rowOff>76200</xdr:rowOff>
    </xdr:from>
    <xdr:to>
      <xdr:col>78</xdr:col>
      <xdr:colOff>381000</xdr:colOff>
      <xdr:row>39</xdr:row>
      <xdr:rowOff>7620</xdr:rowOff>
    </xdr:to>
    <xdr:grpSp>
      <xdr:nvGrpSpPr>
        <xdr:cNvPr id="52" name="Group 51">
          <a:extLst>
            <a:ext uri="{FF2B5EF4-FFF2-40B4-BE49-F238E27FC236}">
              <a16:creationId xmlns:a16="http://schemas.microsoft.com/office/drawing/2014/main" id="{01D4DF10-B0EF-DA7B-EE50-D2FDA028CE92}"/>
            </a:ext>
          </a:extLst>
        </xdr:cNvPr>
        <xdr:cNvGrpSpPr/>
      </xdr:nvGrpSpPr>
      <xdr:grpSpPr>
        <a:xfrm>
          <a:off x="72786669" y="302419"/>
          <a:ext cx="16272081" cy="6717982"/>
          <a:chOff x="82446924" y="3032760"/>
          <a:chExt cx="16033956" cy="6888480"/>
        </a:xfrm>
      </xdr:grpSpPr>
      <xdr:grpSp>
        <xdr:nvGrpSpPr>
          <xdr:cNvPr id="49" name="Group 48">
            <a:extLst>
              <a:ext uri="{FF2B5EF4-FFF2-40B4-BE49-F238E27FC236}">
                <a16:creationId xmlns:a16="http://schemas.microsoft.com/office/drawing/2014/main" id="{6718BF90-52C3-53A4-AB93-9274C4CE36D6}"/>
              </a:ext>
            </a:extLst>
          </xdr:cNvPr>
          <xdr:cNvGrpSpPr/>
        </xdr:nvGrpSpPr>
        <xdr:grpSpPr>
          <a:xfrm>
            <a:off x="82446924" y="3032760"/>
            <a:ext cx="16033956" cy="6888480"/>
            <a:chOff x="82446924" y="3032760"/>
            <a:chExt cx="16033956" cy="6888480"/>
          </a:xfrm>
        </xdr:grpSpPr>
        <xdr:grpSp>
          <xdr:nvGrpSpPr>
            <xdr:cNvPr id="43" name="Group 42">
              <a:extLst>
                <a:ext uri="{FF2B5EF4-FFF2-40B4-BE49-F238E27FC236}">
                  <a16:creationId xmlns:a16="http://schemas.microsoft.com/office/drawing/2014/main" id="{7E8C1D24-1FA7-AEF9-5B87-E9BFE4A4AE51}"/>
                </a:ext>
              </a:extLst>
            </xdr:cNvPr>
            <xdr:cNvGrpSpPr/>
          </xdr:nvGrpSpPr>
          <xdr:grpSpPr>
            <a:xfrm>
              <a:off x="82446924" y="3032760"/>
              <a:ext cx="16033956" cy="6888480"/>
              <a:chOff x="82418902" y="2863497"/>
              <a:chExt cx="16048980" cy="6477148"/>
            </a:xfrm>
          </xdr:grpSpPr>
          <xdr:sp macro="" textlink="">
            <xdr:nvSpPr>
              <xdr:cNvPr id="36" name="Rectangle 35">
                <a:extLst>
                  <a:ext uri="{FF2B5EF4-FFF2-40B4-BE49-F238E27FC236}">
                    <a16:creationId xmlns:a16="http://schemas.microsoft.com/office/drawing/2014/main" id="{A83078EF-A700-F819-0D94-9B1B1F050F7E}"/>
                  </a:ext>
                </a:extLst>
              </xdr:cNvPr>
              <xdr:cNvSpPr/>
            </xdr:nvSpPr>
            <xdr:spPr>
              <a:xfrm>
                <a:off x="82418902" y="2863497"/>
                <a:ext cx="16048980" cy="647714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37" name="Chart 36">
                <a:extLst>
                  <a:ext uri="{FF2B5EF4-FFF2-40B4-BE49-F238E27FC236}">
                    <a16:creationId xmlns:a16="http://schemas.microsoft.com/office/drawing/2014/main" id="{ABF7127F-3328-4D9F-8F03-684618D54113}"/>
                  </a:ext>
                </a:extLst>
              </xdr:cNvPr>
              <xdr:cNvGraphicFramePr>
                <a:graphicFrameLocks/>
              </xdr:cNvGraphicFramePr>
            </xdr:nvGraphicFramePr>
            <xdr:xfrm>
              <a:off x="82594763" y="3692014"/>
              <a:ext cx="4590862" cy="2524983"/>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8" name="Chart 37">
                <a:extLst>
                  <a:ext uri="{FF2B5EF4-FFF2-40B4-BE49-F238E27FC236}">
                    <a16:creationId xmlns:a16="http://schemas.microsoft.com/office/drawing/2014/main" id="{96EA7E38-F4DF-4DB5-AD0D-3F2A54302460}"/>
                  </a:ext>
                </a:extLst>
              </xdr:cNvPr>
              <xdr:cNvGraphicFramePr>
                <a:graphicFrameLocks/>
              </xdr:cNvGraphicFramePr>
            </xdr:nvGraphicFramePr>
            <xdr:xfrm>
              <a:off x="82647118" y="6516245"/>
              <a:ext cx="4596046" cy="253072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9" name="Chart 38">
                <a:extLst>
                  <a:ext uri="{FF2B5EF4-FFF2-40B4-BE49-F238E27FC236}">
                    <a16:creationId xmlns:a16="http://schemas.microsoft.com/office/drawing/2014/main" id="{C5E54F80-278F-4863-8AC1-77148DD7CCE8}"/>
                  </a:ext>
                </a:extLst>
              </xdr:cNvPr>
              <xdr:cNvGraphicFramePr>
                <a:graphicFrameLocks/>
              </xdr:cNvGraphicFramePr>
            </xdr:nvGraphicFramePr>
            <xdr:xfrm>
              <a:off x="87564452" y="3668302"/>
              <a:ext cx="4596046" cy="2533796"/>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0" name="Chart 39">
                <a:extLst>
                  <a:ext uri="{FF2B5EF4-FFF2-40B4-BE49-F238E27FC236}">
                    <a16:creationId xmlns:a16="http://schemas.microsoft.com/office/drawing/2014/main" id="{49C99597-879D-4CC2-9978-424E1D9B8000}"/>
                  </a:ext>
                </a:extLst>
              </xdr:cNvPr>
              <xdr:cNvGraphicFramePr>
                <a:graphicFrameLocks/>
              </xdr:cNvGraphicFramePr>
            </xdr:nvGraphicFramePr>
            <xdr:xfrm>
              <a:off x="87589417" y="6530325"/>
              <a:ext cx="4604590" cy="2533796"/>
            </xdr:xfrm>
            <a:graphic>
              <a:graphicData uri="http://schemas.openxmlformats.org/drawingml/2006/chart">
                <c:chart xmlns:c="http://schemas.openxmlformats.org/drawingml/2006/chart" xmlns:r="http://schemas.openxmlformats.org/officeDocument/2006/relationships" r:id="rId12"/>
              </a:graphicData>
            </a:graphic>
          </xdr:graphicFrame>
        </xdr:grpSp>
        <mc:AlternateContent xmlns:mc="http://schemas.openxmlformats.org/markup-compatibility/2006">
          <mc:Choice xmlns:a14="http://schemas.microsoft.com/office/drawing/2010/main" Requires="a14">
            <xdr:graphicFrame macro="">
              <xdr:nvGraphicFramePr>
                <xdr:cNvPr id="44" name="MONTH 4">
                  <a:extLst>
                    <a:ext uri="{FF2B5EF4-FFF2-40B4-BE49-F238E27FC236}">
                      <a16:creationId xmlns:a16="http://schemas.microsoft.com/office/drawing/2014/main" id="{2C6EF8C4-8F42-B6D9-AC78-3251E47A9E4B}"/>
                    </a:ext>
                  </a:extLst>
                </xdr:cNvPr>
                <xdr:cNvGraphicFramePr/>
              </xdr:nvGraphicFramePr>
              <xdr:xfrm>
                <a:off x="92401349" y="3901932"/>
                <a:ext cx="1818968" cy="2629207"/>
              </xdr:xfrm>
              <a:graphic>
                <a:graphicData uri="http://schemas.microsoft.com/office/drawing/2010/slicer">
                  <sle:slicer xmlns:sle="http://schemas.microsoft.com/office/drawing/2010/slicer" name="MONTH 4"/>
                </a:graphicData>
              </a:graphic>
            </xdr:graphicFrame>
          </mc:Choice>
          <mc:Fallback>
            <xdr:sp macro="" textlink="">
              <xdr:nvSpPr>
                <xdr:cNvPr id="0" name=""/>
                <xdr:cNvSpPr>
                  <a:spLocks noTextEdit="1"/>
                </xdr:cNvSpPr>
              </xdr:nvSpPr>
              <xdr:spPr>
                <a:xfrm>
                  <a:off x="82888930" y="1150078"/>
                  <a:ext cx="1845982" cy="2564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5" name="WEEK 4">
                  <a:extLst>
                    <a:ext uri="{FF2B5EF4-FFF2-40B4-BE49-F238E27FC236}">
                      <a16:creationId xmlns:a16="http://schemas.microsoft.com/office/drawing/2014/main" id="{B0C21875-6322-1080-AC3B-C06946FD4A88}"/>
                    </a:ext>
                  </a:extLst>
                </xdr:cNvPr>
                <xdr:cNvGraphicFramePr/>
              </xdr:nvGraphicFramePr>
              <xdr:xfrm>
                <a:off x="94451129" y="3926758"/>
                <a:ext cx="1818968" cy="2629207"/>
              </xdr:xfrm>
              <a:graphic>
                <a:graphicData uri="http://schemas.microsoft.com/office/drawing/2010/slicer">
                  <sle:slicer xmlns:sle="http://schemas.microsoft.com/office/drawing/2010/slicer" name="WEEK 4"/>
                </a:graphicData>
              </a:graphic>
            </xdr:graphicFrame>
          </mc:Choice>
          <mc:Fallback>
            <xdr:sp macro="" textlink="">
              <xdr:nvSpPr>
                <xdr:cNvPr id="0" name=""/>
                <xdr:cNvSpPr>
                  <a:spLocks noTextEdit="1"/>
                </xdr:cNvSpPr>
              </xdr:nvSpPr>
              <xdr:spPr>
                <a:xfrm>
                  <a:off x="84969152" y="1174289"/>
                  <a:ext cx="1845982" cy="2564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6" name="Assigned To 2">
                  <a:extLst>
                    <a:ext uri="{FF2B5EF4-FFF2-40B4-BE49-F238E27FC236}">
                      <a16:creationId xmlns:a16="http://schemas.microsoft.com/office/drawing/2014/main" id="{7E861CC1-D59D-3C00-A4E2-6325038A981F}"/>
                    </a:ext>
                  </a:extLst>
                </xdr:cNvPr>
                <xdr:cNvGraphicFramePr/>
              </xdr:nvGraphicFramePr>
              <xdr:xfrm>
                <a:off x="96467479" y="3921105"/>
                <a:ext cx="1815035" cy="2618391"/>
              </xdr:xfrm>
              <a:graphic>
                <a:graphicData uri="http://schemas.microsoft.com/office/drawing/2010/slicer">
                  <sle:slicer xmlns:sle="http://schemas.microsoft.com/office/drawing/2010/slicer" name="Assigned To 2"/>
                </a:graphicData>
              </a:graphic>
            </xdr:graphicFrame>
          </mc:Choice>
          <mc:Fallback>
            <xdr:sp macro="" textlink="">
              <xdr:nvSpPr>
                <xdr:cNvPr id="0" name=""/>
                <xdr:cNvSpPr>
                  <a:spLocks noTextEdit="1"/>
                </xdr:cNvSpPr>
              </xdr:nvSpPr>
              <xdr:spPr>
                <a:xfrm>
                  <a:off x="87015447" y="1168776"/>
                  <a:ext cx="1841991" cy="2553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7" name="Program Name">
                  <a:extLst>
                    <a:ext uri="{FF2B5EF4-FFF2-40B4-BE49-F238E27FC236}">
                      <a16:creationId xmlns:a16="http://schemas.microsoft.com/office/drawing/2014/main" id="{D45FD725-351C-E7BC-87C8-0630B3FECFD8}"/>
                    </a:ext>
                  </a:extLst>
                </xdr:cNvPr>
                <xdr:cNvGraphicFramePr/>
              </xdr:nvGraphicFramePr>
              <xdr:xfrm>
                <a:off x="92390779" y="6841531"/>
                <a:ext cx="1810119" cy="2618392"/>
              </xdr:xfrm>
              <a:graphic>
                <a:graphicData uri="http://schemas.microsoft.com/office/drawing/2010/slicer">
                  <sle:slicer xmlns:sle="http://schemas.microsoft.com/office/drawing/2010/slicer" name="Program Name"/>
                </a:graphicData>
              </a:graphic>
            </xdr:graphicFrame>
          </mc:Choice>
          <mc:Fallback>
            <xdr:sp macro="" textlink="">
              <xdr:nvSpPr>
                <xdr:cNvPr id="0" name=""/>
                <xdr:cNvSpPr>
                  <a:spLocks noTextEdit="1"/>
                </xdr:cNvSpPr>
              </xdr:nvSpPr>
              <xdr:spPr>
                <a:xfrm>
                  <a:off x="82878203" y="4016918"/>
                  <a:ext cx="1837002" cy="2553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8" name="Issue 2 - NPS 2">
                  <a:extLst>
                    <a:ext uri="{FF2B5EF4-FFF2-40B4-BE49-F238E27FC236}">
                      <a16:creationId xmlns:a16="http://schemas.microsoft.com/office/drawing/2014/main" id="{4EF52C7E-8009-D488-FD32-AAE834D68024}"/>
                    </a:ext>
                  </a:extLst>
                </xdr:cNvPr>
                <xdr:cNvGraphicFramePr/>
              </xdr:nvGraphicFramePr>
              <xdr:xfrm>
                <a:off x="94403197" y="6851117"/>
                <a:ext cx="1817001" cy="2618392"/>
              </xdr:xfrm>
              <a:graphic>
                <a:graphicData uri="http://schemas.microsoft.com/office/drawing/2010/slicer">
                  <sle:slicer xmlns:sle="http://schemas.microsoft.com/office/drawing/2010/slicer" name="Issue 2 - NPS 2"/>
                </a:graphicData>
              </a:graphic>
            </xdr:graphicFrame>
          </mc:Choice>
          <mc:Fallback>
            <xdr:sp macro="" textlink="">
              <xdr:nvSpPr>
                <xdr:cNvPr id="0" name=""/>
                <xdr:cNvSpPr>
                  <a:spLocks noTextEdit="1"/>
                </xdr:cNvSpPr>
              </xdr:nvSpPr>
              <xdr:spPr>
                <a:xfrm>
                  <a:off x="84920508" y="4026267"/>
                  <a:ext cx="1843986" cy="2553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51" name="Rectangle 50">
            <a:extLst>
              <a:ext uri="{FF2B5EF4-FFF2-40B4-BE49-F238E27FC236}">
                <a16:creationId xmlns:a16="http://schemas.microsoft.com/office/drawing/2014/main" id="{5EF652F2-570E-AF54-41FD-61A14DC51670}"/>
              </a:ext>
            </a:extLst>
          </xdr:cNvPr>
          <xdr:cNvSpPr/>
        </xdr:nvSpPr>
        <xdr:spPr>
          <a:xfrm>
            <a:off x="82661760" y="3200400"/>
            <a:ext cx="9540240" cy="624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ISSUE</a:t>
            </a:r>
            <a:r>
              <a:rPr lang="en-IN" sz="2800" b="1" baseline="0"/>
              <a:t> CATEGORY OVERALL OVERVIEW</a:t>
            </a:r>
          </a:p>
        </xdr:txBody>
      </xdr:sp>
    </xdr:grpSp>
    <xdr:clientData/>
  </xdr:twoCellAnchor>
  <xdr:twoCellAnchor>
    <xdr:from>
      <xdr:col>56</xdr:col>
      <xdr:colOff>1856507</xdr:colOff>
      <xdr:row>49</xdr:row>
      <xdr:rowOff>60066</xdr:rowOff>
    </xdr:from>
    <xdr:to>
      <xdr:col>78</xdr:col>
      <xdr:colOff>202512</xdr:colOff>
      <xdr:row>89</xdr:row>
      <xdr:rowOff>34821</xdr:rowOff>
    </xdr:to>
    <xdr:grpSp>
      <xdr:nvGrpSpPr>
        <xdr:cNvPr id="72" name="Group 71">
          <a:extLst>
            <a:ext uri="{FF2B5EF4-FFF2-40B4-BE49-F238E27FC236}">
              <a16:creationId xmlns:a16="http://schemas.microsoft.com/office/drawing/2014/main" id="{00EDFFB0-5D70-4E40-D32F-3A904095C940}"/>
            </a:ext>
          </a:extLst>
        </xdr:cNvPr>
        <xdr:cNvGrpSpPr/>
      </xdr:nvGrpSpPr>
      <xdr:grpSpPr>
        <a:xfrm>
          <a:off x="72059567" y="8858785"/>
          <a:ext cx="16820695" cy="7118505"/>
          <a:chOff x="78082783" y="10647049"/>
          <a:chExt cx="16642763" cy="7331996"/>
        </a:xfrm>
      </xdr:grpSpPr>
      <xdr:grpSp>
        <xdr:nvGrpSpPr>
          <xdr:cNvPr id="70" name="Group 69">
            <a:extLst>
              <a:ext uri="{FF2B5EF4-FFF2-40B4-BE49-F238E27FC236}">
                <a16:creationId xmlns:a16="http://schemas.microsoft.com/office/drawing/2014/main" id="{3AA4A26E-CB53-B232-A157-D398F0516459}"/>
              </a:ext>
            </a:extLst>
          </xdr:cNvPr>
          <xdr:cNvGrpSpPr/>
        </xdr:nvGrpSpPr>
        <xdr:grpSpPr>
          <a:xfrm>
            <a:off x="78082783" y="10647049"/>
            <a:ext cx="16642763" cy="7331996"/>
            <a:chOff x="76923804" y="10729782"/>
            <a:chExt cx="16905167" cy="7388809"/>
          </a:xfrm>
        </xdr:grpSpPr>
        <xdr:grpSp>
          <xdr:nvGrpSpPr>
            <xdr:cNvPr id="62" name="Group 61">
              <a:extLst>
                <a:ext uri="{FF2B5EF4-FFF2-40B4-BE49-F238E27FC236}">
                  <a16:creationId xmlns:a16="http://schemas.microsoft.com/office/drawing/2014/main" id="{FD460392-1D33-600B-67EF-1C15A49C2AD9}"/>
                </a:ext>
              </a:extLst>
            </xdr:cNvPr>
            <xdr:cNvGrpSpPr/>
          </xdr:nvGrpSpPr>
          <xdr:grpSpPr>
            <a:xfrm>
              <a:off x="76923804" y="10729782"/>
              <a:ext cx="16905167" cy="7388809"/>
              <a:chOff x="76740327" y="11016851"/>
              <a:chExt cx="16665320" cy="7594607"/>
            </a:xfrm>
          </xdr:grpSpPr>
          <xdr:sp macro="" textlink="">
            <xdr:nvSpPr>
              <xdr:cNvPr id="57" name="Rectangle 56">
                <a:extLst>
                  <a:ext uri="{FF2B5EF4-FFF2-40B4-BE49-F238E27FC236}">
                    <a16:creationId xmlns:a16="http://schemas.microsoft.com/office/drawing/2014/main" id="{A5F5C70A-7BF2-8E6B-853B-CC019DDEFFC5}"/>
                  </a:ext>
                </a:extLst>
              </xdr:cNvPr>
              <xdr:cNvSpPr/>
            </xdr:nvSpPr>
            <xdr:spPr>
              <a:xfrm>
                <a:off x="76740327" y="11016851"/>
                <a:ext cx="16665320" cy="759460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58" name="Chart 57">
                <a:extLst>
                  <a:ext uri="{FF2B5EF4-FFF2-40B4-BE49-F238E27FC236}">
                    <a16:creationId xmlns:a16="http://schemas.microsoft.com/office/drawing/2014/main" id="{4A2BDA34-27D4-4420-A605-F21BFE50171C}"/>
                  </a:ext>
                </a:extLst>
              </xdr:cNvPr>
              <xdr:cNvGraphicFramePr>
                <a:graphicFrameLocks/>
              </xdr:cNvGraphicFramePr>
            </xdr:nvGraphicFramePr>
            <xdr:xfrm>
              <a:off x="77015280" y="12111665"/>
              <a:ext cx="4502502" cy="2793331"/>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59" name="Chart 58">
                <a:extLst>
                  <a:ext uri="{FF2B5EF4-FFF2-40B4-BE49-F238E27FC236}">
                    <a16:creationId xmlns:a16="http://schemas.microsoft.com/office/drawing/2014/main" id="{27277BF9-D43E-4F6B-AA3A-AF1EDBB35D8B}"/>
                  </a:ext>
                </a:extLst>
              </xdr:cNvPr>
              <xdr:cNvGraphicFramePr>
                <a:graphicFrameLocks/>
              </xdr:cNvGraphicFramePr>
            </xdr:nvGraphicFramePr>
            <xdr:xfrm>
              <a:off x="76961552" y="15307522"/>
              <a:ext cx="4507689" cy="2911289"/>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60" name="Chart 59">
                <a:extLst>
                  <a:ext uri="{FF2B5EF4-FFF2-40B4-BE49-F238E27FC236}">
                    <a16:creationId xmlns:a16="http://schemas.microsoft.com/office/drawing/2014/main" id="{BEF7D68D-B6FA-452C-A60D-74E1D5802D93}"/>
                  </a:ext>
                </a:extLst>
              </xdr:cNvPr>
              <xdr:cNvGraphicFramePr>
                <a:graphicFrameLocks/>
              </xdr:cNvGraphicFramePr>
            </xdr:nvGraphicFramePr>
            <xdr:xfrm>
              <a:off x="81827403" y="15372588"/>
              <a:ext cx="4484424" cy="2904059"/>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61" name="Chart 60">
                <a:extLst>
                  <a:ext uri="{FF2B5EF4-FFF2-40B4-BE49-F238E27FC236}">
                    <a16:creationId xmlns:a16="http://schemas.microsoft.com/office/drawing/2014/main" id="{B55B8EDC-51C6-4150-82A7-39977783EBF4}"/>
                  </a:ext>
                </a:extLst>
              </xdr:cNvPr>
              <xdr:cNvGraphicFramePr>
                <a:graphicFrameLocks/>
              </xdr:cNvGraphicFramePr>
            </xdr:nvGraphicFramePr>
            <xdr:xfrm>
              <a:off x="81829572" y="12084927"/>
              <a:ext cx="4490208" cy="2904058"/>
            </xdr:xfrm>
            <a:graphic>
              <a:graphicData uri="http://schemas.openxmlformats.org/drawingml/2006/chart">
                <c:chart xmlns:c="http://schemas.openxmlformats.org/drawingml/2006/chart" xmlns:r="http://schemas.openxmlformats.org/officeDocument/2006/relationships" r:id="rId16"/>
              </a:graphicData>
            </a:graphic>
          </xdr:graphicFrame>
        </xdr:grpSp>
        <mc:AlternateContent xmlns:mc="http://schemas.openxmlformats.org/markup-compatibility/2006">
          <mc:Choice xmlns:a14="http://schemas.microsoft.com/office/drawing/2010/main" Requires="a14">
            <xdr:graphicFrame macro="">
              <xdr:nvGraphicFramePr>
                <xdr:cNvPr id="63" name="MONTH 6">
                  <a:extLst>
                    <a:ext uri="{FF2B5EF4-FFF2-40B4-BE49-F238E27FC236}">
                      <a16:creationId xmlns:a16="http://schemas.microsoft.com/office/drawing/2014/main" id="{CB53B9AD-F86B-BC5B-D13C-85FB49EC2CD2}"/>
                    </a:ext>
                  </a:extLst>
                </xdr:cNvPr>
                <xdr:cNvGraphicFramePr/>
              </xdr:nvGraphicFramePr>
              <xdr:xfrm>
                <a:off x="87057137" y="11788247"/>
                <a:ext cx="1812466" cy="2486860"/>
              </xdr:xfrm>
              <a:graphic>
                <a:graphicData uri="http://schemas.microsoft.com/office/drawing/2010/slicer">
                  <sle:slicer xmlns:sle="http://schemas.microsoft.com/office/drawing/2010/slicer" name="MONTH 6"/>
                </a:graphicData>
              </a:graphic>
            </xdr:graphicFrame>
          </mc:Choice>
          <mc:Fallback>
            <xdr:sp macro="" textlink="">
              <xdr:nvSpPr>
                <xdr:cNvPr id="0" name=""/>
                <xdr:cNvSpPr>
                  <a:spLocks noTextEdit="1"/>
                </xdr:cNvSpPr>
              </xdr:nvSpPr>
              <xdr:spPr>
                <a:xfrm>
                  <a:off x="82142266" y="9878528"/>
                  <a:ext cx="1803409" cy="2395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4" name="WEEK 6">
                  <a:extLst>
                    <a:ext uri="{FF2B5EF4-FFF2-40B4-BE49-F238E27FC236}">
                      <a16:creationId xmlns:a16="http://schemas.microsoft.com/office/drawing/2014/main" id="{44EFC3B5-B892-78A2-0355-89549B16A3F3}"/>
                    </a:ext>
                  </a:extLst>
                </xdr:cNvPr>
                <xdr:cNvGraphicFramePr/>
              </xdr:nvGraphicFramePr>
              <xdr:xfrm>
                <a:off x="89328927" y="11819487"/>
                <a:ext cx="1812466" cy="2485439"/>
              </xdr:xfrm>
              <a:graphic>
                <a:graphicData uri="http://schemas.microsoft.com/office/drawing/2010/slicer">
                  <sle:slicer xmlns:sle="http://schemas.microsoft.com/office/drawing/2010/slicer" name="WEEK 6"/>
                </a:graphicData>
              </a:graphic>
            </xdr:graphicFrame>
          </mc:Choice>
          <mc:Fallback>
            <xdr:sp macro="" textlink="">
              <xdr:nvSpPr>
                <xdr:cNvPr id="0" name=""/>
                <xdr:cNvSpPr>
                  <a:spLocks noTextEdit="1"/>
                </xdr:cNvSpPr>
              </xdr:nvSpPr>
              <xdr:spPr>
                <a:xfrm>
                  <a:off x="84402704" y="9908625"/>
                  <a:ext cx="1803409" cy="2394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5" name="Assigned To 4">
                  <a:extLst>
                    <a:ext uri="{FF2B5EF4-FFF2-40B4-BE49-F238E27FC236}">
                      <a16:creationId xmlns:a16="http://schemas.microsoft.com/office/drawing/2014/main" id="{1B3650A3-BC93-9F3B-6F8B-7554F6876655}"/>
                    </a:ext>
                  </a:extLst>
                </xdr:cNvPr>
                <xdr:cNvGraphicFramePr/>
              </xdr:nvGraphicFramePr>
              <xdr:xfrm>
                <a:off x="91734227" y="11809538"/>
                <a:ext cx="1805364" cy="2485439"/>
              </xdr:xfrm>
              <a:graphic>
                <a:graphicData uri="http://schemas.microsoft.com/office/drawing/2010/slicer">
                  <sle:slicer xmlns:sle="http://schemas.microsoft.com/office/drawing/2010/slicer" name="Assigned To 4"/>
                </a:graphicData>
              </a:graphic>
            </xdr:graphicFrame>
          </mc:Choice>
          <mc:Fallback>
            <xdr:sp macro="" textlink="">
              <xdr:nvSpPr>
                <xdr:cNvPr id="0" name=""/>
                <xdr:cNvSpPr>
                  <a:spLocks noTextEdit="1"/>
                </xdr:cNvSpPr>
              </xdr:nvSpPr>
              <xdr:spPr>
                <a:xfrm>
                  <a:off x="86795985" y="9899040"/>
                  <a:ext cx="1796343" cy="2394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7" name="Program Name 2">
                  <a:extLst>
                    <a:ext uri="{FF2B5EF4-FFF2-40B4-BE49-F238E27FC236}">
                      <a16:creationId xmlns:a16="http://schemas.microsoft.com/office/drawing/2014/main" id="{C3737317-9318-63F9-A09A-0FD0A5C9EE8B}"/>
                    </a:ext>
                  </a:extLst>
                </xdr:cNvPr>
                <xdr:cNvGraphicFramePr/>
              </xdr:nvGraphicFramePr>
              <xdr:xfrm>
                <a:off x="89311151" y="14877407"/>
                <a:ext cx="1824560" cy="2485439"/>
              </xdr:xfrm>
              <a:graphic>
                <a:graphicData uri="http://schemas.microsoft.com/office/drawing/2010/slicer">
                  <sle:slicer xmlns:sle="http://schemas.microsoft.com/office/drawing/2010/slicer" name="Program Name 2"/>
                </a:graphicData>
              </a:graphic>
            </xdr:graphicFrame>
          </mc:Choice>
          <mc:Fallback>
            <xdr:sp macro="" textlink="">
              <xdr:nvSpPr>
                <xdr:cNvPr id="0" name=""/>
                <xdr:cNvSpPr>
                  <a:spLocks noTextEdit="1"/>
                </xdr:cNvSpPr>
              </xdr:nvSpPr>
              <xdr:spPr>
                <a:xfrm>
                  <a:off x="84385017" y="12854678"/>
                  <a:ext cx="1815443" cy="2394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8" name="Rectangle 67">
              <a:extLst>
                <a:ext uri="{FF2B5EF4-FFF2-40B4-BE49-F238E27FC236}">
                  <a16:creationId xmlns:a16="http://schemas.microsoft.com/office/drawing/2014/main" id="{73B8298E-E6AF-A858-DCFB-35F0A6423B05}"/>
                </a:ext>
              </a:extLst>
            </xdr:cNvPr>
            <xdr:cNvSpPr/>
          </xdr:nvSpPr>
          <xdr:spPr>
            <a:xfrm>
              <a:off x="77250324" y="10853351"/>
              <a:ext cx="9576487"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ISSUE CATEGORY OVERALL OVERVIEW</a:t>
              </a:r>
            </a:p>
          </xdr:txBody>
        </xdr:sp>
      </xdr:grpSp>
      <mc:AlternateContent xmlns:mc="http://schemas.openxmlformats.org/markup-compatibility/2006">
        <mc:Choice xmlns:a14="http://schemas.microsoft.com/office/drawing/2010/main" Requires="a14">
          <xdr:graphicFrame macro="">
            <xdr:nvGraphicFramePr>
              <xdr:cNvPr id="71" name="Disposition Folder Level 2 1">
                <a:extLst>
                  <a:ext uri="{FF2B5EF4-FFF2-40B4-BE49-F238E27FC236}">
                    <a16:creationId xmlns:a16="http://schemas.microsoft.com/office/drawing/2014/main" id="{C63FF4CF-6221-E4CF-024E-A6B8F9722C44}"/>
                  </a:ext>
                </a:extLst>
              </xdr:cNvPr>
              <xdr:cNvGraphicFramePr/>
            </xdr:nvGraphicFramePr>
            <xdr:xfrm>
              <a:off x="88073537" y="14788580"/>
              <a:ext cx="1828800" cy="2466975"/>
            </xdr:xfrm>
            <a:graphic>
              <a:graphicData uri="http://schemas.microsoft.com/office/drawing/2010/slicer">
                <sle:slicer xmlns:sle="http://schemas.microsoft.com/office/drawing/2010/slicer" name="Disposition Folder Level 2 1"/>
              </a:graphicData>
            </a:graphic>
          </xdr:graphicFrame>
        </mc:Choice>
        <mc:Fallback>
          <xdr:sp macro="" textlink="">
            <xdr:nvSpPr>
              <xdr:cNvPr id="0" name=""/>
              <xdr:cNvSpPr>
                <a:spLocks noTextEdit="1"/>
              </xdr:cNvSpPr>
            </xdr:nvSpPr>
            <xdr:spPr>
              <a:xfrm>
                <a:off x="82157135" y="12879724"/>
                <a:ext cx="1848352" cy="2395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56</xdr:col>
      <xdr:colOff>430687</xdr:colOff>
      <xdr:row>137</xdr:row>
      <xdr:rowOff>52520</xdr:rowOff>
    </xdr:from>
    <xdr:to>
      <xdr:col>58</xdr:col>
      <xdr:colOff>1692749</xdr:colOff>
      <xdr:row>152</xdr:row>
      <xdr:rowOff>128720</xdr:rowOff>
    </xdr:to>
    <xdr:graphicFrame macro="">
      <xdr:nvGraphicFramePr>
        <xdr:cNvPr id="73" name="Chart 72">
          <a:extLst>
            <a:ext uri="{FF2B5EF4-FFF2-40B4-BE49-F238E27FC236}">
              <a16:creationId xmlns:a16="http://schemas.microsoft.com/office/drawing/2014/main" id="{54D11C18-8F42-600E-5DA2-484501FE27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56</xdr:col>
      <xdr:colOff>376447</xdr:colOff>
      <xdr:row>153</xdr:row>
      <xdr:rowOff>3572</xdr:rowOff>
    </xdr:from>
    <xdr:to>
      <xdr:col>58</xdr:col>
      <xdr:colOff>1638509</xdr:colOff>
      <xdr:row>168</xdr:row>
      <xdr:rowOff>67866</xdr:rowOff>
    </xdr:to>
    <xdr:graphicFrame macro="">
      <xdr:nvGraphicFramePr>
        <xdr:cNvPr id="74" name="Chart 73">
          <a:extLst>
            <a:ext uri="{FF2B5EF4-FFF2-40B4-BE49-F238E27FC236}">
              <a16:creationId xmlns:a16="http://schemas.microsoft.com/office/drawing/2014/main" id="{137E6259-855F-EF82-ED36-0198C2A49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56</xdr:col>
      <xdr:colOff>614572</xdr:colOff>
      <xdr:row>171</xdr:row>
      <xdr:rowOff>146447</xdr:rowOff>
    </xdr:from>
    <xdr:to>
      <xdr:col>58</xdr:col>
      <xdr:colOff>1876634</xdr:colOff>
      <xdr:row>187</xdr:row>
      <xdr:rowOff>32147</xdr:rowOff>
    </xdr:to>
    <xdr:graphicFrame macro="">
      <xdr:nvGraphicFramePr>
        <xdr:cNvPr id="75" name="Chart 74">
          <a:extLst>
            <a:ext uri="{FF2B5EF4-FFF2-40B4-BE49-F238E27FC236}">
              <a16:creationId xmlns:a16="http://schemas.microsoft.com/office/drawing/2014/main" id="{A7CB9D14-4D39-F589-315B-F5F0DB985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56</xdr:col>
      <xdr:colOff>364541</xdr:colOff>
      <xdr:row>188</xdr:row>
      <xdr:rowOff>39290</xdr:rowOff>
    </xdr:from>
    <xdr:to>
      <xdr:col>58</xdr:col>
      <xdr:colOff>1626603</xdr:colOff>
      <xdr:row>203</xdr:row>
      <xdr:rowOff>103584</xdr:rowOff>
    </xdr:to>
    <xdr:graphicFrame macro="">
      <xdr:nvGraphicFramePr>
        <xdr:cNvPr id="76" name="Chart 75">
          <a:extLst>
            <a:ext uri="{FF2B5EF4-FFF2-40B4-BE49-F238E27FC236}">
              <a16:creationId xmlns:a16="http://schemas.microsoft.com/office/drawing/2014/main" id="{744F2FB1-9C6B-8A8B-B753-46AD14001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61</xdr:col>
      <xdr:colOff>112059</xdr:colOff>
      <xdr:row>142</xdr:row>
      <xdr:rowOff>112059</xdr:rowOff>
    </xdr:from>
    <xdr:to>
      <xdr:col>87</xdr:col>
      <xdr:colOff>165093</xdr:colOff>
      <xdr:row>182</xdr:row>
      <xdr:rowOff>98020</xdr:rowOff>
    </xdr:to>
    <xdr:grpSp>
      <xdr:nvGrpSpPr>
        <xdr:cNvPr id="115" name="Group 114">
          <a:extLst>
            <a:ext uri="{FF2B5EF4-FFF2-40B4-BE49-F238E27FC236}">
              <a16:creationId xmlns:a16="http://schemas.microsoft.com/office/drawing/2014/main" id="{B4B829FA-2D50-8537-59AE-995E86448E2D}"/>
            </a:ext>
          </a:extLst>
        </xdr:cNvPr>
        <xdr:cNvGrpSpPr/>
      </xdr:nvGrpSpPr>
      <xdr:grpSpPr>
        <a:xfrm>
          <a:off x="77443153" y="25519997"/>
          <a:ext cx="21472378" cy="7129711"/>
          <a:chOff x="79741059" y="26126739"/>
          <a:chExt cx="16908474" cy="7301161"/>
        </a:xfrm>
      </xdr:grpSpPr>
      <xdr:grpSp>
        <xdr:nvGrpSpPr>
          <xdr:cNvPr id="77" name="Group 76">
            <a:extLst>
              <a:ext uri="{FF2B5EF4-FFF2-40B4-BE49-F238E27FC236}">
                <a16:creationId xmlns:a16="http://schemas.microsoft.com/office/drawing/2014/main" id="{F8183B9D-3EE4-40F1-9916-E0FD4BFE8C86}"/>
              </a:ext>
            </a:extLst>
          </xdr:cNvPr>
          <xdr:cNvGrpSpPr/>
        </xdr:nvGrpSpPr>
        <xdr:grpSpPr>
          <a:xfrm>
            <a:off x="79741059" y="26126739"/>
            <a:ext cx="16908474" cy="7301161"/>
            <a:chOff x="78082783" y="10647049"/>
            <a:chExt cx="16642763" cy="7331996"/>
          </a:xfrm>
        </xdr:grpSpPr>
        <xdr:grpSp>
          <xdr:nvGrpSpPr>
            <xdr:cNvPr id="78" name="Group 77">
              <a:extLst>
                <a:ext uri="{FF2B5EF4-FFF2-40B4-BE49-F238E27FC236}">
                  <a16:creationId xmlns:a16="http://schemas.microsoft.com/office/drawing/2014/main" id="{F366C5A4-B2DD-A673-BB30-7DB3AE5A2A1C}"/>
                </a:ext>
              </a:extLst>
            </xdr:cNvPr>
            <xdr:cNvGrpSpPr/>
          </xdr:nvGrpSpPr>
          <xdr:grpSpPr>
            <a:xfrm>
              <a:off x="78082783" y="10647049"/>
              <a:ext cx="16642763" cy="7331996"/>
              <a:chOff x="76923804" y="10729782"/>
              <a:chExt cx="16905167" cy="7388809"/>
            </a:xfrm>
          </xdr:grpSpPr>
          <xdr:sp macro="" textlink="">
            <xdr:nvSpPr>
              <xdr:cNvPr id="86" name="Rectangle 85">
                <a:extLst>
                  <a:ext uri="{FF2B5EF4-FFF2-40B4-BE49-F238E27FC236}">
                    <a16:creationId xmlns:a16="http://schemas.microsoft.com/office/drawing/2014/main" id="{5A69EFF7-3D8A-CE9C-345F-F1BB0046743C}"/>
                  </a:ext>
                </a:extLst>
              </xdr:cNvPr>
              <xdr:cNvSpPr/>
            </xdr:nvSpPr>
            <xdr:spPr>
              <a:xfrm>
                <a:off x="76923804" y="10729782"/>
                <a:ext cx="16905167" cy="738880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81" name="MONTH 8">
                    <a:extLst>
                      <a:ext uri="{FF2B5EF4-FFF2-40B4-BE49-F238E27FC236}">
                        <a16:creationId xmlns:a16="http://schemas.microsoft.com/office/drawing/2014/main" id="{BF1DDEAF-E9D7-A644-6AEB-3D863B5915C8}"/>
                      </a:ext>
                    </a:extLst>
                  </xdr:cNvPr>
                  <xdr:cNvGraphicFramePr/>
                </xdr:nvGraphicFramePr>
                <xdr:xfrm>
                  <a:off x="87057137" y="11788247"/>
                  <a:ext cx="1812466" cy="2486860"/>
                </xdr:xfrm>
                <a:graphic>
                  <a:graphicData uri="http://schemas.microsoft.com/office/drawing/2010/slicer">
                    <sle:slicer xmlns:sle="http://schemas.microsoft.com/office/drawing/2010/slicer" name="MONTH 8"/>
                  </a:graphicData>
                </a:graphic>
              </xdr:graphicFrame>
            </mc:Choice>
            <mc:Fallback>
              <xdr:sp macro="" textlink="">
                <xdr:nvSpPr>
                  <xdr:cNvPr id="0" name=""/>
                  <xdr:cNvSpPr>
                    <a:spLocks noTextEdit="1"/>
                  </xdr:cNvSpPr>
                </xdr:nvSpPr>
                <xdr:spPr>
                  <a:xfrm>
                    <a:off x="90314174" y="26541346"/>
                    <a:ext cx="2302134" cy="2399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2" name="WEEK 8">
                    <a:extLst>
                      <a:ext uri="{FF2B5EF4-FFF2-40B4-BE49-F238E27FC236}">
                        <a16:creationId xmlns:a16="http://schemas.microsoft.com/office/drawing/2014/main" id="{8CD17327-0D63-B076-9F26-25F439D4A3C1}"/>
                      </a:ext>
                    </a:extLst>
                  </xdr:cNvPr>
                  <xdr:cNvGraphicFramePr/>
                </xdr:nvGraphicFramePr>
                <xdr:xfrm>
                  <a:off x="89328927" y="11819487"/>
                  <a:ext cx="1812466" cy="2485439"/>
                </xdr:xfrm>
                <a:graphic>
                  <a:graphicData uri="http://schemas.microsoft.com/office/drawing/2010/slicer">
                    <sle:slicer xmlns:sle="http://schemas.microsoft.com/office/drawing/2010/slicer" name="WEEK 8"/>
                  </a:graphicData>
                </a:graphic>
              </xdr:graphicFrame>
            </mc:Choice>
            <mc:Fallback>
              <xdr:sp macro="" textlink="">
                <xdr:nvSpPr>
                  <xdr:cNvPr id="0" name=""/>
                  <xdr:cNvSpPr>
                    <a:spLocks noTextEdit="1"/>
                  </xdr:cNvSpPr>
                </xdr:nvSpPr>
                <xdr:spPr>
                  <a:xfrm>
                    <a:off x="93199726" y="26571490"/>
                    <a:ext cx="2302134" cy="2398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4" name="Program Name 4">
                    <a:extLst>
                      <a:ext uri="{FF2B5EF4-FFF2-40B4-BE49-F238E27FC236}">
                        <a16:creationId xmlns:a16="http://schemas.microsoft.com/office/drawing/2014/main" id="{F76FAEB6-5B3C-DCAB-D97B-38826EE5AEE1}"/>
                      </a:ext>
                    </a:extLst>
                  </xdr:cNvPr>
                  <xdr:cNvGraphicFramePr/>
                </xdr:nvGraphicFramePr>
                <xdr:xfrm>
                  <a:off x="89311151" y="14877407"/>
                  <a:ext cx="1824560" cy="2485439"/>
                </xdr:xfrm>
                <a:graphic>
                  <a:graphicData uri="http://schemas.microsoft.com/office/drawing/2010/slicer">
                    <sle:slicer xmlns:sle="http://schemas.microsoft.com/office/drawing/2010/slicer" name="Program Name 4"/>
                  </a:graphicData>
                </a:graphic>
              </xdr:graphicFrame>
            </mc:Choice>
            <mc:Fallback>
              <xdr:sp macro="" textlink="">
                <xdr:nvSpPr>
                  <xdr:cNvPr id="0" name=""/>
                  <xdr:cNvSpPr>
                    <a:spLocks noTextEdit="1"/>
                  </xdr:cNvSpPr>
                </xdr:nvSpPr>
                <xdr:spPr>
                  <a:xfrm>
                    <a:off x="93177147" y="29522180"/>
                    <a:ext cx="2317495" cy="2398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85" name="Rectangle 84">
                <a:extLst>
                  <a:ext uri="{FF2B5EF4-FFF2-40B4-BE49-F238E27FC236}">
                    <a16:creationId xmlns:a16="http://schemas.microsoft.com/office/drawing/2014/main" id="{04D92A26-12BC-9775-03D8-43511DD60118}"/>
                  </a:ext>
                </a:extLst>
              </xdr:cNvPr>
              <xdr:cNvSpPr/>
            </xdr:nvSpPr>
            <xdr:spPr>
              <a:xfrm>
                <a:off x="77250324" y="10853351"/>
                <a:ext cx="9576487"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HANDLER OVERALL OVERVIEW</a:t>
                </a:r>
              </a:p>
            </xdr:txBody>
          </xdr:sp>
        </xdr:grpSp>
        <mc:AlternateContent xmlns:mc="http://schemas.openxmlformats.org/markup-compatibility/2006">
          <mc:Choice xmlns:a14="http://schemas.microsoft.com/office/drawing/2010/main" Requires="a14">
            <xdr:graphicFrame macro="">
              <xdr:nvGraphicFramePr>
                <xdr:cNvPr id="79" name="Disposition Folder Level 2 3">
                  <a:extLst>
                    <a:ext uri="{FF2B5EF4-FFF2-40B4-BE49-F238E27FC236}">
                      <a16:creationId xmlns:a16="http://schemas.microsoft.com/office/drawing/2014/main" id="{11ECDD14-40E3-5AA0-3566-701EF964E287}"/>
                    </a:ext>
                  </a:extLst>
                </xdr:cNvPr>
                <xdr:cNvGraphicFramePr/>
              </xdr:nvGraphicFramePr>
              <xdr:xfrm>
                <a:off x="88073537" y="14788580"/>
                <a:ext cx="1828800" cy="2466975"/>
              </xdr:xfrm>
              <a:graphic>
                <a:graphicData uri="http://schemas.microsoft.com/office/drawing/2010/slicer">
                  <sle:slicer xmlns:sle="http://schemas.microsoft.com/office/drawing/2010/slicer" name="Disposition Folder Level 2 3"/>
                </a:graphicData>
              </a:graphic>
            </xdr:graphicFrame>
          </mc:Choice>
          <mc:Fallback>
            <xdr:sp macro="" textlink="">
              <xdr:nvSpPr>
                <xdr:cNvPr id="0" name=""/>
                <xdr:cNvSpPr>
                  <a:spLocks noTextEdit="1"/>
                </xdr:cNvSpPr>
              </xdr:nvSpPr>
              <xdr:spPr>
                <a:xfrm>
                  <a:off x="90333155" y="29547266"/>
                  <a:ext cx="2359505" cy="2398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108" name="Chart 107">
            <a:extLst>
              <a:ext uri="{FF2B5EF4-FFF2-40B4-BE49-F238E27FC236}">
                <a16:creationId xmlns:a16="http://schemas.microsoft.com/office/drawing/2014/main" id="{926A21E4-77EC-4054-AB61-07E961425627}"/>
              </a:ext>
            </a:extLst>
          </xdr:cNvPr>
          <xdr:cNvGraphicFramePr>
            <a:graphicFrameLocks/>
          </xdr:cNvGraphicFramePr>
        </xdr:nvGraphicFramePr>
        <xdr:xfrm>
          <a:off x="79919263" y="27268843"/>
          <a:ext cx="4603208" cy="2822985"/>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109" name="Chart 108">
            <a:extLst>
              <a:ext uri="{FF2B5EF4-FFF2-40B4-BE49-F238E27FC236}">
                <a16:creationId xmlns:a16="http://schemas.microsoft.com/office/drawing/2014/main" id="{1E5D7F6A-621E-4A05-9755-D0504D6B36C8}"/>
              </a:ext>
            </a:extLst>
          </xdr:cNvPr>
          <xdr:cNvGraphicFramePr>
            <a:graphicFrameLocks/>
          </xdr:cNvGraphicFramePr>
        </xdr:nvGraphicFramePr>
        <xdr:xfrm>
          <a:off x="79909848" y="30239208"/>
          <a:ext cx="4603208" cy="2807493"/>
        </xdr:xfrm>
        <a:graphic>
          <a:graphicData uri="http://schemas.openxmlformats.org/drawingml/2006/chart">
            <c:chart xmlns:c="http://schemas.openxmlformats.org/drawingml/2006/chart" xmlns:r="http://schemas.openxmlformats.org/officeDocument/2006/relationships" r:id="rId22"/>
          </a:graphicData>
        </a:graphic>
      </xdr:graphicFrame>
      <xdr:graphicFrame macro="">
        <xdr:nvGraphicFramePr>
          <xdr:cNvPr id="110" name="Chart 109">
            <a:extLst>
              <a:ext uri="{FF2B5EF4-FFF2-40B4-BE49-F238E27FC236}">
                <a16:creationId xmlns:a16="http://schemas.microsoft.com/office/drawing/2014/main" id="{D269B855-1EE0-47B4-8804-68D7AACC203F}"/>
              </a:ext>
            </a:extLst>
          </xdr:cNvPr>
          <xdr:cNvGraphicFramePr>
            <a:graphicFrameLocks/>
          </xdr:cNvGraphicFramePr>
        </xdr:nvGraphicFramePr>
        <xdr:xfrm>
          <a:off x="84789000" y="30270024"/>
          <a:ext cx="4614862" cy="2808194"/>
        </xdr:xfrm>
        <a:graphic>
          <a:graphicData uri="http://schemas.openxmlformats.org/drawingml/2006/chart">
            <c:chart xmlns:c="http://schemas.openxmlformats.org/drawingml/2006/chart" xmlns:r="http://schemas.openxmlformats.org/officeDocument/2006/relationships" r:id="rId23"/>
          </a:graphicData>
        </a:graphic>
      </xdr:graphicFrame>
      <xdr:graphicFrame macro="">
        <xdr:nvGraphicFramePr>
          <xdr:cNvPr id="111" name="Chart 110">
            <a:extLst>
              <a:ext uri="{FF2B5EF4-FFF2-40B4-BE49-F238E27FC236}">
                <a16:creationId xmlns:a16="http://schemas.microsoft.com/office/drawing/2014/main" id="{614E7E92-D7AC-4992-89CB-7D363B3AEFD3}"/>
              </a:ext>
            </a:extLst>
          </xdr:cNvPr>
          <xdr:cNvGraphicFramePr>
            <a:graphicFrameLocks/>
          </xdr:cNvGraphicFramePr>
        </xdr:nvGraphicFramePr>
        <xdr:xfrm>
          <a:off x="84740676" y="27278024"/>
          <a:ext cx="4614862" cy="2811079"/>
        </xdr:xfrm>
        <a:graphic>
          <a:graphicData uri="http://schemas.openxmlformats.org/drawingml/2006/chart">
            <c:chart xmlns:c="http://schemas.openxmlformats.org/drawingml/2006/chart" xmlns:r="http://schemas.openxmlformats.org/officeDocument/2006/relationships" r:id="rId24"/>
          </a:graphicData>
        </a:graphic>
      </xdr:graphicFrame>
      <mc:AlternateContent xmlns:mc="http://schemas.openxmlformats.org/markup-compatibility/2006">
        <mc:Choice xmlns:a14="http://schemas.microsoft.com/office/drawing/2010/main" Requires="a14">
          <xdr:graphicFrame macro="">
            <xdr:nvGraphicFramePr>
              <xdr:cNvPr id="113" name="Issue 2 - NPS 5">
                <a:extLst>
                  <a:ext uri="{FF2B5EF4-FFF2-40B4-BE49-F238E27FC236}">
                    <a16:creationId xmlns:a16="http://schemas.microsoft.com/office/drawing/2014/main" id="{2721F36E-D48D-4C3E-A608-8821ABF06045}"/>
                  </a:ext>
                </a:extLst>
              </xdr:cNvPr>
              <xdr:cNvGraphicFramePr/>
            </xdr:nvGraphicFramePr>
            <xdr:xfrm>
              <a:off x="94310499" y="27193539"/>
              <a:ext cx="1828800" cy="2466975"/>
            </xdr:xfrm>
            <a:graphic>
              <a:graphicData uri="http://schemas.microsoft.com/office/drawing/2010/slicer">
                <sle:slicer xmlns:sle="http://schemas.microsoft.com/office/drawing/2010/slicer" name="Issue 2 - NPS 5"/>
              </a:graphicData>
            </a:graphic>
          </xdr:graphicFrame>
        </mc:Choice>
        <mc:Fallback>
          <xdr:sp macro="" textlink="">
            <xdr:nvSpPr>
              <xdr:cNvPr id="0" name=""/>
              <xdr:cNvSpPr>
                <a:spLocks noTextEdit="1"/>
              </xdr:cNvSpPr>
            </xdr:nvSpPr>
            <xdr:spPr>
              <a:xfrm>
                <a:off x="95945149" y="26561746"/>
                <a:ext cx="2322426" cy="2409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67</xdr:col>
      <xdr:colOff>380999</xdr:colOff>
      <xdr:row>212</xdr:row>
      <xdr:rowOff>41564</xdr:rowOff>
    </xdr:from>
    <xdr:to>
      <xdr:col>77</xdr:col>
      <xdr:colOff>275012</xdr:colOff>
      <xdr:row>243</xdr:row>
      <xdr:rowOff>10564</xdr:rowOff>
    </xdr:to>
    <xdr:grpSp>
      <xdr:nvGrpSpPr>
        <xdr:cNvPr id="126" name="Group 125">
          <a:extLst>
            <a:ext uri="{FF2B5EF4-FFF2-40B4-BE49-F238E27FC236}">
              <a16:creationId xmlns:a16="http://schemas.microsoft.com/office/drawing/2014/main" id="{6D06DE43-28EE-B4CD-646B-A531D14FE531}"/>
            </a:ext>
          </a:extLst>
        </xdr:cNvPr>
        <xdr:cNvGrpSpPr/>
      </xdr:nvGrpSpPr>
      <xdr:grpSpPr>
        <a:xfrm>
          <a:off x="82379343" y="37951064"/>
          <a:ext cx="5966200" cy="5505406"/>
          <a:chOff x="80432563" y="39486840"/>
          <a:chExt cx="5990013" cy="5204633"/>
        </a:xfrm>
      </xdr:grpSpPr>
      <mc:AlternateContent xmlns:mc="http://schemas.openxmlformats.org/markup-compatibility/2006">
        <mc:Choice xmlns:a14="http://schemas.microsoft.com/office/drawing/2010/main" Requires="a14">
          <xdr:graphicFrame macro="">
            <xdr:nvGraphicFramePr>
              <xdr:cNvPr id="120" name="MONTH 10">
                <a:extLst>
                  <a:ext uri="{FF2B5EF4-FFF2-40B4-BE49-F238E27FC236}">
                    <a16:creationId xmlns:a16="http://schemas.microsoft.com/office/drawing/2014/main" id="{B2868FEF-DF16-FA6A-20D4-17653B3F3949}"/>
                  </a:ext>
                </a:extLst>
              </xdr:cNvPr>
              <xdr:cNvGraphicFramePr/>
            </xdr:nvGraphicFramePr>
            <xdr:xfrm>
              <a:off x="80447110" y="39486840"/>
              <a:ext cx="1828800" cy="2466975"/>
            </xdr:xfrm>
            <a:graphic>
              <a:graphicData uri="http://schemas.microsoft.com/office/drawing/2010/slicer">
                <sle:slicer xmlns:sle="http://schemas.microsoft.com/office/drawing/2010/slicer" name="MONTH 10"/>
              </a:graphicData>
            </a:graphic>
          </xdr:graphicFrame>
        </mc:Choice>
        <mc:Fallback>
          <xdr:sp macro="" textlink="">
            <xdr:nvSpPr>
              <xdr:cNvPr id="0" name=""/>
              <xdr:cNvSpPr>
                <a:spLocks noTextEdit="1"/>
              </xdr:cNvSpPr>
            </xdr:nvSpPr>
            <xdr:spPr>
              <a:xfrm>
                <a:off x="82393832" y="37951064"/>
                <a:ext cx="1821530" cy="2609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1" name="WEEK 10">
                <a:extLst>
                  <a:ext uri="{FF2B5EF4-FFF2-40B4-BE49-F238E27FC236}">
                    <a16:creationId xmlns:a16="http://schemas.microsoft.com/office/drawing/2014/main" id="{740B78A6-41A5-1726-09F1-A8656A14CCF5}"/>
                  </a:ext>
                </a:extLst>
              </xdr:cNvPr>
              <xdr:cNvGraphicFramePr/>
            </xdr:nvGraphicFramePr>
            <xdr:xfrm>
              <a:off x="82506588" y="39509700"/>
              <a:ext cx="1828800" cy="2466975"/>
            </xdr:xfrm>
            <a:graphic>
              <a:graphicData uri="http://schemas.microsoft.com/office/drawing/2010/slicer">
                <sle:slicer xmlns:sle="http://schemas.microsoft.com/office/drawing/2010/slicer" name="WEEK 10"/>
              </a:graphicData>
            </a:graphic>
          </xdr:graphicFrame>
        </mc:Choice>
        <mc:Fallback>
          <xdr:sp macro="" textlink="">
            <xdr:nvSpPr>
              <xdr:cNvPr id="0" name=""/>
              <xdr:cNvSpPr>
                <a:spLocks noTextEdit="1"/>
              </xdr:cNvSpPr>
            </xdr:nvSpPr>
            <xdr:spPr>
              <a:xfrm>
                <a:off x="84445123" y="37975245"/>
                <a:ext cx="1821530" cy="2609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2" name="Assigned To 6">
                <a:extLst>
                  <a:ext uri="{FF2B5EF4-FFF2-40B4-BE49-F238E27FC236}">
                    <a16:creationId xmlns:a16="http://schemas.microsoft.com/office/drawing/2014/main" id="{5D26FC9E-2754-A91D-12BC-50C3A0E55CE9}"/>
                  </a:ext>
                </a:extLst>
              </xdr:cNvPr>
              <xdr:cNvGraphicFramePr/>
            </xdr:nvGraphicFramePr>
            <xdr:xfrm>
              <a:off x="84593776" y="39546415"/>
              <a:ext cx="1828800" cy="2466975"/>
            </xdr:xfrm>
            <a:graphic>
              <a:graphicData uri="http://schemas.microsoft.com/office/drawing/2010/slicer">
                <sle:slicer xmlns:sle="http://schemas.microsoft.com/office/drawing/2010/slicer" name="Assigned To 6"/>
              </a:graphicData>
            </a:graphic>
          </xdr:graphicFrame>
        </mc:Choice>
        <mc:Fallback>
          <xdr:sp macro="" textlink="">
            <xdr:nvSpPr>
              <xdr:cNvPr id="0" name=""/>
              <xdr:cNvSpPr>
                <a:spLocks noTextEdit="1"/>
              </xdr:cNvSpPr>
            </xdr:nvSpPr>
            <xdr:spPr>
              <a:xfrm>
                <a:off x="86524013" y="38014082"/>
                <a:ext cx="1821530" cy="2609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3" name="Issue 2 - NPS 4">
                <a:extLst>
                  <a:ext uri="{FF2B5EF4-FFF2-40B4-BE49-F238E27FC236}">
                    <a16:creationId xmlns:a16="http://schemas.microsoft.com/office/drawing/2014/main" id="{BE94E33F-125B-7DC7-60A6-BC6E533B3246}"/>
                  </a:ext>
                </a:extLst>
              </xdr:cNvPr>
              <xdr:cNvGraphicFramePr/>
            </xdr:nvGraphicFramePr>
            <xdr:xfrm>
              <a:off x="80432563" y="42187784"/>
              <a:ext cx="1828800" cy="2466975"/>
            </xdr:xfrm>
            <a:graphic>
              <a:graphicData uri="http://schemas.microsoft.com/office/drawing/2010/slicer">
                <sle:slicer xmlns:sle="http://schemas.microsoft.com/office/drawing/2010/slicer" name="Issue 2 - NPS 4"/>
              </a:graphicData>
            </a:graphic>
          </xdr:graphicFrame>
        </mc:Choice>
        <mc:Fallback>
          <xdr:sp macro="" textlink="">
            <xdr:nvSpPr>
              <xdr:cNvPr id="0" name=""/>
              <xdr:cNvSpPr>
                <a:spLocks noTextEdit="1"/>
              </xdr:cNvSpPr>
            </xdr:nvSpPr>
            <xdr:spPr>
              <a:xfrm>
                <a:off x="82379343" y="40808094"/>
                <a:ext cx="1821530" cy="2609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4" name="Status">
                <a:extLst>
                  <a:ext uri="{FF2B5EF4-FFF2-40B4-BE49-F238E27FC236}">
                    <a16:creationId xmlns:a16="http://schemas.microsoft.com/office/drawing/2014/main" id="{986DCD4C-CBBC-8A20-79FF-BE358E4ED9AC}"/>
                  </a:ext>
                </a:extLst>
              </xdr:cNvPr>
              <xdr:cNvGraphicFramePr/>
            </xdr:nvGraphicFramePr>
            <xdr:xfrm>
              <a:off x="82519750" y="42224498"/>
              <a:ext cx="1828800" cy="2466975"/>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84458232" y="40846930"/>
                <a:ext cx="1821530" cy="2609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91</xdr:col>
      <xdr:colOff>479136</xdr:colOff>
      <xdr:row>9</xdr:row>
      <xdr:rowOff>77356</xdr:rowOff>
    </xdr:from>
    <xdr:to>
      <xdr:col>99</xdr:col>
      <xdr:colOff>155863</xdr:colOff>
      <xdr:row>24</xdr:row>
      <xdr:rowOff>49647</xdr:rowOff>
    </xdr:to>
    <xdr:graphicFrame macro="">
      <xdr:nvGraphicFramePr>
        <xdr:cNvPr id="130" name="Chart 129">
          <a:extLst>
            <a:ext uri="{FF2B5EF4-FFF2-40B4-BE49-F238E27FC236}">
              <a16:creationId xmlns:a16="http://schemas.microsoft.com/office/drawing/2014/main" id="{11098977-8463-9DC0-E3E8-0CA6F35CB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91</xdr:col>
      <xdr:colOff>575734</xdr:colOff>
      <xdr:row>24</xdr:row>
      <xdr:rowOff>123372</xdr:rowOff>
    </xdr:from>
    <xdr:to>
      <xdr:col>99</xdr:col>
      <xdr:colOff>275772</xdr:colOff>
      <xdr:row>39</xdr:row>
      <xdr:rowOff>72572</xdr:rowOff>
    </xdr:to>
    <xdr:graphicFrame macro="">
      <xdr:nvGraphicFramePr>
        <xdr:cNvPr id="131" name="Chart 130">
          <a:extLst>
            <a:ext uri="{FF2B5EF4-FFF2-40B4-BE49-F238E27FC236}">
              <a16:creationId xmlns:a16="http://schemas.microsoft.com/office/drawing/2014/main" id="{F9D5E1A2-2537-07BF-22D9-D2362BBC2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91</xdr:col>
      <xdr:colOff>554182</xdr:colOff>
      <xdr:row>47</xdr:row>
      <xdr:rowOff>34637</xdr:rowOff>
    </xdr:from>
    <xdr:to>
      <xdr:col>115</xdr:col>
      <xdr:colOff>91440</xdr:colOff>
      <xdr:row>55</xdr:row>
      <xdr:rowOff>156519</xdr:rowOff>
    </xdr:to>
    <xdr:graphicFrame macro="">
      <xdr:nvGraphicFramePr>
        <xdr:cNvPr id="132" name="Chart 131">
          <a:extLst>
            <a:ext uri="{FF2B5EF4-FFF2-40B4-BE49-F238E27FC236}">
              <a16:creationId xmlns:a16="http://schemas.microsoft.com/office/drawing/2014/main" id="{AB1C1644-7D46-0E00-2DA6-ED98C1008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91</xdr:col>
      <xdr:colOff>278027</xdr:colOff>
      <xdr:row>58</xdr:row>
      <xdr:rowOff>49426</xdr:rowOff>
    </xdr:from>
    <xdr:to>
      <xdr:col>104</xdr:col>
      <xdr:colOff>40105</xdr:colOff>
      <xdr:row>73</xdr:row>
      <xdr:rowOff>12356</xdr:rowOff>
    </xdr:to>
    <xdr:graphicFrame macro="">
      <xdr:nvGraphicFramePr>
        <xdr:cNvPr id="133" name="Chart 132">
          <a:extLst>
            <a:ext uri="{FF2B5EF4-FFF2-40B4-BE49-F238E27FC236}">
              <a16:creationId xmlns:a16="http://schemas.microsoft.com/office/drawing/2014/main" id="{99E496F7-504F-CE70-F713-5B5660449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104</xdr:col>
      <xdr:colOff>-1</xdr:colOff>
      <xdr:row>22</xdr:row>
      <xdr:rowOff>138545</xdr:rowOff>
    </xdr:from>
    <xdr:to>
      <xdr:col>125</xdr:col>
      <xdr:colOff>81144</xdr:colOff>
      <xdr:row>37</xdr:row>
      <xdr:rowOff>113645</xdr:rowOff>
    </xdr:to>
    <xdr:graphicFrame macro="">
      <xdr:nvGraphicFramePr>
        <xdr:cNvPr id="135" name="Chart 134">
          <a:extLst>
            <a:ext uri="{FF2B5EF4-FFF2-40B4-BE49-F238E27FC236}">
              <a16:creationId xmlns:a16="http://schemas.microsoft.com/office/drawing/2014/main" id="{40C06F87-8959-4025-B5A2-E6C0F926D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101</xdr:col>
      <xdr:colOff>280554</xdr:colOff>
      <xdr:row>125</xdr:row>
      <xdr:rowOff>86922</xdr:rowOff>
    </xdr:from>
    <xdr:to>
      <xdr:col>131</xdr:col>
      <xdr:colOff>493205</xdr:colOff>
      <xdr:row>166</xdr:row>
      <xdr:rowOff>136540</xdr:rowOff>
    </xdr:to>
    <xdr:grpSp>
      <xdr:nvGrpSpPr>
        <xdr:cNvPr id="149" name="Group 148">
          <a:extLst>
            <a:ext uri="{FF2B5EF4-FFF2-40B4-BE49-F238E27FC236}">
              <a16:creationId xmlns:a16="http://schemas.microsoft.com/office/drawing/2014/main" id="{5B1C2970-56EE-6E90-FA95-40762D7EBE80}"/>
            </a:ext>
          </a:extLst>
        </xdr:cNvPr>
        <xdr:cNvGrpSpPr/>
      </xdr:nvGrpSpPr>
      <xdr:grpSpPr>
        <a:xfrm>
          <a:off x="116164085" y="22458766"/>
          <a:ext cx="18429214" cy="7371962"/>
          <a:chOff x="117628554" y="23099322"/>
          <a:chExt cx="18500651" cy="7860118"/>
        </a:xfrm>
      </xdr:grpSpPr>
      <xdr:grpSp>
        <xdr:nvGrpSpPr>
          <xdr:cNvPr id="147" name="Group 146">
            <a:extLst>
              <a:ext uri="{FF2B5EF4-FFF2-40B4-BE49-F238E27FC236}">
                <a16:creationId xmlns:a16="http://schemas.microsoft.com/office/drawing/2014/main" id="{79837D50-D8CB-80A0-AACA-178D0884D230}"/>
              </a:ext>
            </a:extLst>
          </xdr:cNvPr>
          <xdr:cNvGrpSpPr/>
        </xdr:nvGrpSpPr>
        <xdr:grpSpPr>
          <a:xfrm>
            <a:off x="117628554" y="23099322"/>
            <a:ext cx="18500651" cy="7860118"/>
            <a:chOff x="117455113" y="22011960"/>
            <a:chExt cx="18355508" cy="7488190"/>
          </a:xfrm>
        </xdr:grpSpPr>
        <xdr:sp macro="" textlink="">
          <xdr:nvSpPr>
            <xdr:cNvPr id="134" name="Rectangle 133">
              <a:extLst>
                <a:ext uri="{FF2B5EF4-FFF2-40B4-BE49-F238E27FC236}">
                  <a16:creationId xmlns:a16="http://schemas.microsoft.com/office/drawing/2014/main" id="{93641B96-5D45-2762-3E4F-0D73D8E912B2}"/>
                </a:ext>
              </a:extLst>
            </xdr:cNvPr>
            <xdr:cNvSpPr/>
          </xdr:nvSpPr>
          <xdr:spPr>
            <a:xfrm>
              <a:off x="117455113" y="22011960"/>
              <a:ext cx="18355508" cy="748819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40" name="Chart 139">
              <a:extLst>
                <a:ext uri="{FF2B5EF4-FFF2-40B4-BE49-F238E27FC236}">
                  <a16:creationId xmlns:a16="http://schemas.microsoft.com/office/drawing/2014/main" id="{047EFD1E-52E3-4B7C-ABF7-650F1E4636C0}"/>
                </a:ext>
              </a:extLst>
            </xdr:cNvPr>
            <xdr:cNvGraphicFramePr>
              <a:graphicFrameLocks/>
            </xdr:cNvGraphicFramePr>
          </xdr:nvGraphicFramePr>
          <xdr:xfrm>
            <a:off x="117863877" y="26234334"/>
            <a:ext cx="12885647" cy="2696528"/>
          </xdr:xfrm>
          <a:graphic>
            <a:graphicData uri="http://schemas.openxmlformats.org/drawingml/2006/chart">
              <c:chart xmlns:c="http://schemas.openxmlformats.org/drawingml/2006/chart" xmlns:r="http://schemas.openxmlformats.org/officeDocument/2006/relationships" r:id="rId30"/>
            </a:graphicData>
          </a:graphic>
        </xdr:graphicFrame>
        <xdr:graphicFrame macro="">
          <xdr:nvGraphicFramePr>
            <xdr:cNvPr id="141" name="Chart 140">
              <a:extLst>
                <a:ext uri="{FF2B5EF4-FFF2-40B4-BE49-F238E27FC236}">
                  <a16:creationId xmlns:a16="http://schemas.microsoft.com/office/drawing/2014/main" id="{B04AEC9C-05BE-421D-AFDE-A1751F359C62}"/>
                </a:ext>
              </a:extLst>
            </xdr:cNvPr>
            <xdr:cNvGraphicFramePr>
              <a:graphicFrameLocks/>
            </xdr:cNvGraphicFramePr>
          </xdr:nvGraphicFramePr>
          <xdr:xfrm>
            <a:off x="123102034" y="23147538"/>
            <a:ext cx="7623983" cy="2684357"/>
          </xdr:xfrm>
          <a:graphic>
            <a:graphicData uri="http://schemas.openxmlformats.org/drawingml/2006/chart">
              <c:chart xmlns:c="http://schemas.openxmlformats.org/drawingml/2006/chart" xmlns:r="http://schemas.openxmlformats.org/officeDocument/2006/relationships" r:id="rId31"/>
            </a:graphicData>
          </a:graphic>
        </xdr:graphicFrame>
        <xdr:graphicFrame macro="">
          <xdr:nvGraphicFramePr>
            <xdr:cNvPr id="142" name="Chart 141">
              <a:extLst>
                <a:ext uri="{FF2B5EF4-FFF2-40B4-BE49-F238E27FC236}">
                  <a16:creationId xmlns:a16="http://schemas.microsoft.com/office/drawing/2014/main" id="{424EE93E-60C9-4DA2-9703-E4F3D41A3F26}"/>
                </a:ext>
              </a:extLst>
            </xdr:cNvPr>
            <xdr:cNvGraphicFramePr>
              <a:graphicFrameLocks/>
            </xdr:cNvGraphicFramePr>
          </xdr:nvGraphicFramePr>
          <xdr:xfrm>
            <a:off x="117863876" y="23147538"/>
            <a:ext cx="4943653" cy="2670627"/>
          </xdr:xfrm>
          <a:graphic>
            <a:graphicData uri="http://schemas.openxmlformats.org/drawingml/2006/chart">
              <c:chart xmlns:c="http://schemas.openxmlformats.org/drawingml/2006/chart" xmlns:r="http://schemas.openxmlformats.org/officeDocument/2006/relationships" r:id="rId32"/>
            </a:graphicData>
          </a:graphic>
        </xdr:graphicFrame>
        <xdr:graphicFrame macro="">
          <xdr:nvGraphicFramePr>
            <xdr:cNvPr id="143" name="Chart 142">
              <a:extLst>
                <a:ext uri="{FF2B5EF4-FFF2-40B4-BE49-F238E27FC236}">
                  <a16:creationId xmlns:a16="http://schemas.microsoft.com/office/drawing/2014/main" id="{06F93D27-22BD-4FD0-BF90-0EDE89FC75E7}"/>
                </a:ext>
              </a:extLst>
            </xdr:cNvPr>
            <xdr:cNvGraphicFramePr>
              <a:graphicFrameLocks/>
            </xdr:cNvGraphicFramePr>
          </xdr:nvGraphicFramePr>
          <xdr:xfrm>
            <a:off x="131179531" y="26234334"/>
            <a:ext cx="4512572" cy="2693720"/>
          </xdr:xfrm>
          <a:graphic>
            <a:graphicData uri="http://schemas.openxmlformats.org/drawingml/2006/chart">
              <c:chart xmlns:c="http://schemas.openxmlformats.org/drawingml/2006/chart" xmlns:r="http://schemas.openxmlformats.org/officeDocument/2006/relationships" r:id="rId33"/>
            </a:graphicData>
          </a:graphic>
        </xdr:graphicFrame>
        <mc:AlternateContent xmlns:mc="http://schemas.openxmlformats.org/markup-compatibility/2006">
          <mc:Choice xmlns:a14="http://schemas.microsoft.com/office/drawing/2010/main" Requires="a14">
            <xdr:graphicFrame macro="">
              <xdr:nvGraphicFramePr>
                <xdr:cNvPr id="144" name="MONTH 1">
                  <a:extLst>
                    <a:ext uri="{FF2B5EF4-FFF2-40B4-BE49-F238E27FC236}">
                      <a16:creationId xmlns:a16="http://schemas.microsoft.com/office/drawing/2014/main" id="{29B1E6A7-9CE7-7C13-61A9-CBDB26BD724A}"/>
                    </a:ext>
                  </a:extLst>
                </xdr:cNvPr>
                <xdr:cNvGraphicFramePr/>
              </xdr:nvGraphicFramePr>
              <xdr:xfrm>
                <a:off x="131218672" y="23147538"/>
                <a:ext cx="1855354" cy="2416575"/>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9982911" y="23576718"/>
                  <a:ext cx="1862804" cy="2379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5" name="WEEK 1">
                  <a:extLst>
                    <a:ext uri="{FF2B5EF4-FFF2-40B4-BE49-F238E27FC236}">
                      <a16:creationId xmlns:a16="http://schemas.microsoft.com/office/drawing/2014/main" id="{155F4797-3542-B27C-CCA4-3F7692439BA2}"/>
                    </a:ext>
                  </a:extLst>
                </xdr:cNvPr>
                <xdr:cNvGraphicFramePr/>
              </xdr:nvGraphicFramePr>
              <xdr:xfrm>
                <a:off x="133616698" y="23147538"/>
                <a:ext cx="1829791" cy="2415022"/>
              </xdr:xfrm>
              <a:graphic>
                <a:graphicData uri="http://schemas.microsoft.com/office/drawing/2010/slicer">
                  <sle:slicer xmlns:sle="http://schemas.microsoft.com/office/drawing/2010/slicer" name="WEEK 1"/>
                </a:graphicData>
              </a:graphic>
            </xdr:graphicFrame>
          </mc:Choice>
          <mc:Fallback>
            <xdr:sp macro="" textlink="">
              <xdr:nvSpPr>
                <xdr:cNvPr id="0" name=""/>
                <xdr:cNvSpPr>
                  <a:spLocks noTextEdit="1"/>
                </xdr:cNvSpPr>
              </xdr:nvSpPr>
              <xdr:spPr>
                <a:xfrm>
                  <a:off x="132390566" y="23576718"/>
                  <a:ext cx="1837138" cy="2377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148" name="Rectangle 147">
            <a:extLst>
              <a:ext uri="{FF2B5EF4-FFF2-40B4-BE49-F238E27FC236}">
                <a16:creationId xmlns:a16="http://schemas.microsoft.com/office/drawing/2014/main" id="{1C080432-2540-D95C-D441-FB57B0AB968A}"/>
              </a:ext>
            </a:extLst>
          </xdr:cNvPr>
          <xdr:cNvSpPr/>
        </xdr:nvSpPr>
        <xdr:spPr>
          <a:xfrm>
            <a:off x="118040549" y="23393400"/>
            <a:ext cx="12973050" cy="781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OVERALL TICKET OVERVIEW</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442149</xdr:colOff>
      <xdr:row>41</xdr:row>
      <xdr:rowOff>110066</xdr:rowOff>
    </xdr:from>
    <xdr:to>
      <xdr:col>6</xdr:col>
      <xdr:colOff>818445</xdr:colOff>
      <xdr:row>56</xdr:row>
      <xdr:rowOff>285044</xdr:rowOff>
    </xdr:to>
    <xdr:graphicFrame macro="">
      <xdr:nvGraphicFramePr>
        <xdr:cNvPr id="2" name="Chart 1">
          <a:extLst>
            <a:ext uri="{FF2B5EF4-FFF2-40B4-BE49-F238E27FC236}">
              <a16:creationId xmlns:a16="http://schemas.microsoft.com/office/drawing/2014/main" id="{C3153465-B832-D7D9-683C-BC444C0F4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131704</xdr:colOff>
      <xdr:row>2</xdr:row>
      <xdr:rowOff>44214</xdr:rowOff>
    </xdr:from>
    <xdr:to>
      <xdr:col>9</xdr:col>
      <xdr:colOff>1025408</xdr:colOff>
      <xdr:row>11</xdr:row>
      <xdr:rowOff>153340</xdr:rowOff>
    </xdr:to>
    <xdr:graphicFrame macro="">
      <xdr:nvGraphicFramePr>
        <xdr:cNvPr id="4" name="Chart 3">
          <a:extLst>
            <a:ext uri="{FF2B5EF4-FFF2-40B4-BE49-F238E27FC236}">
              <a16:creationId xmlns:a16="http://schemas.microsoft.com/office/drawing/2014/main" id="{382AAE6F-771C-7138-C413-9F38783261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8709</xdr:colOff>
      <xdr:row>1</xdr:row>
      <xdr:rowOff>174171</xdr:rowOff>
    </xdr:from>
    <xdr:to>
      <xdr:col>20</xdr:col>
      <xdr:colOff>557349</xdr:colOff>
      <xdr:row>13</xdr:row>
      <xdr:rowOff>11974</xdr:rowOff>
    </xdr:to>
    <xdr:graphicFrame macro="">
      <xdr:nvGraphicFramePr>
        <xdr:cNvPr id="2" name="Chart 1">
          <a:extLst>
            <a:ext uri="{FF2B5EF4-FFF2-40B4-BE49-F238E27FC236}">
              <a16:creationId xmlns:a16="http://schemas.microsoft.com/office/drawing/2014/main" id="{03949003-8EB9-449B-0690-CC3456E8B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365760</xdr:colOff>
      <xdr:row>17</xdr:row>
      <xdr:rowOff>3810</xdr:rowOff>
    </xdr:from>
    <xdr:to>
      <xdr:col>21</xdr:col>
      <xdr:colOff>91440</xdr:colOff>
      <xdr:row>35</xdr:row>
      <xdr:rowOff>15240</xdr:rowOff>
    </xdr:to>
    <xdr:graphicFrame macro="">
      <xdr:nvGraphicFramePr>
        <xdr:cNvPr id="4" name="Chart 3">
          <a:extLst>
            <a:ext uri="{FF2B5EF4-FFF2-40B4-BE49-F238E27FC236}">
              <a16:creationId xmlns:a16="http://schemas.microsoft.com/office/drawing/2014/main" id="{28F955B1-59F1-5BBF-A284-FF626C133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41</xdr:row>
      <xdr:rowOff>3810</xdr:rowOff>
    </xdr:from>
    <xdr:to>
      <xdr:col>16</xdr:col>
      <xdr:colOff>190500</xdr:colOff>
      <xdr:row>52</xdr:row>
      <xdr:rowOff>10886</xdr:rowOff>
    </xdr:to>
    <xdr:graphicFrame macro="">
      <xdr:nvGraphicFramePr>
        <xdr:cNvPr id="5" name="Chart 4">
          <a:extLst>
            <a:ext uri="{FF2B5EF4-FFF2-40B4-BE49-F238E27FC236}">
              <a16:creationId xmlns:a16="http://schemas.microsoft.com/office/drawing/2014/main" id="{3AD6BCB9-7059-D4B4-BEC7-BFD960CD6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41</xdr:row>
      <xdr:rowOff>0</xdr:rowOff>
    </xdr:from>
    <xdr:to>
      <xdr:col>24</xdr:col>
      <xdr:colOff>296333</xdr:colOff>
      <xdr:row>51</xdr:row>
      <xdr:rowOff>174171</xdr:rowOff>
    </xdr:to>
    <xdr:graphicFrame macro="">
      <xdr:nvGraphicFramePr>
        <xdr:cNvPr id="6" name="Chart 5">
          <a:extLst>
            <a:ext uri="{FF2B5EF4-FFF2-40B4-BE49-F238E27FC236}">
              <a16:creationId xmlns:a16="http://schemas.microsoft.com/office/drawing/2014/main" id="{11CF0B42-F9A3-4607-8101-21E19797A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289865</xdr:colOff>
      <xdr:row>70</xdr:row>
      <xdr:rowOff>50125</xdr:rowOff>
    </xdr:from>
    <xdr:to>
      <xdr:col>6</xdr:col>
      <xdr:colOff>646814</xdr:colOff>
      <xdr:row>83</xdr:row>
      <xdr:rowOff>97465</xdr:rowOff>
    </xdr:to>
    <xdr:graphicFrame macro="">
      <xdr:nvGraphicFramePr>
        <xdr:cNvPr id="8" name="Chart 7">
          <a:extLst>
            <a:ext uri="{FF2B5EF4-FFF2-40B4-BE49-F238E27FC236}">
              <a16:creationId xmlns:a16="http://schemas.microsoft.com/office/drawing/2014/main" id="{8BAD034D-B153-0BB4-9326-7F3CA0133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43542</xdr:colOff>
      <xdr:row>86</xdr:row>
      <xdr:rowOff>174172</xdr:rowOff>
    </xdr:from>
    <xdr:to>
      <xdr:col>6</xdr:col>
      <xdr:colOff>947057</xdr:colOff>
      <xdr:row>109</xdr:row>
      <xdr:rowOff>97971</xdr:rowOff>
    </xdr:to>
    <xdr:graphicFrame macro="">
      <xdr:nvGraphicFramePr>
        <xdr:cNvPr id="9" name="Chart 8">
          <a:extLst>
            <a:ext uri="{FF2B5EF4-FFF2-40B4-BE49-F238E27FC236}">
              <a16:creationId xmlns:a16="http://schemas.microsoft.com/office/drawing/2014/main" id="{7D01C2A2-0C46-CB36-0378-E7C3173B1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32657</xdr:colOff>
      <xdr:row>86</xdr:row>
      <xdr:rowOff>152401</xdr:rowOff>
    </xdr:from>
    <xdr:to>
      <xdr:col>16</xdr:col>
      <xdr:colOff>217714</xdr:colOff>
      <xdr:row>101</xdr:row>
      <xdr:rowOff>119744</xdr:rowOff>
    </xdr:to>
    <xdr:graphicFrame macro="">
      <xdr:nvGraphicFramePr>
        <xdr:cNvPr id="10" name="Chart 9">
          <a:extLst>
            <a:ext uri="{FF2B5EF4-FFF2-40B4-BE49-F238E27FC236}">
              <a16:creationId xmlns:a16="http://schemas.microsoft.com/office/drawing/2014/main" id="{E8BA0750-D458-E616-F051-D8663990A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206829</xdr:colOff>
      <xdr:row>121</xdr:row>
      <xdr:rowOff>0</xdr:rowOff>
    </xdr:from>
    <xdr:to>
      <xdr:col>8</xdr:col>
      <xdr:colOff>304800</xdr:colOff>
      <xdr:row>135</xdr:row>
      <xdr:rowOff>152400</xdr:rowOff>
    </xdr:to>
    <xdr:graphicFrame macro="">
      <xdr:nvGraphicFramePr>
        <xdr:cNvPr id="13" name="Chart 12">
          <a:extLst>
            <a:ext uri="{FF2B5EF4-FFF2-40B4-BE49-F238E27FC236}">
              <a16:creationId xmlns:a16="http://schemas.microsoft.com/office/drawing/2014/main" id="{773B780B-9A3D-5821-4816-87CB80718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66</xdr:col>
      <xdr:colOff>76200</xdr:colOff>
      <xdr:row>145</xdr:row>
      <xdr:rowOff>76201</xdr:rowOff>
    </xdr:to>
    <xdr:grpSp>
      <xdr:nvGrpSpPr>
        <xdr:cNvPr id="153" name="Group 152">
          <a:extLst>
            <a:ext uri="{FF2B5EF4-FFF2-40B4-BE49-F238E27FC236}">
              <a16:creationId xmlns:a16="http://schemas.microsoft.com/office/drawing/2014/main" id="{D61C80E2-7674-3673-67FE-03601F8A63C6}"/>
            </a:ext>
          </a:extLst>
        </xdr:cNvPr>
        <xdr:cNvGrpSpPr/>
      </xdr:nvGrpSpPr>
      <xdr:grpSpPr>
        <a:xfrm>
          <a:off x="0" y="0"/>
          <a:ext cx="41986200" cy="33223201"/>
          <a:chOff x="1270000" y="834571"/>
          <a:chExt cx="40788771" cy="26383344"/>
        </a:xfrm>
      </xdr:grpSpPr>
      <xdr:grpSp>
        <xdr:nvGrpSpPr>
          <xdr:cNvPr id="137" name="Group 136">
            <a:extLst>
              <a:ext uri="{FF2B5EF4-FFF2-40B4-BE49-F238E27FC236}">
                <a16:creationId xmlns:a16="http://schemas.microsoft.com/office/drawing/2014/main" id="{8D631EA7-6BDC-C2D3-A5E1-F7BFC1F918B5}"/>
              </a:ext>
            </a:extLst>
          </xdr:cNvPr>
          <xdr:cNvGrpSpPr/>
        </xdr:nvGrpSpPr>
        <xdr:grpSpPr>
          <a:xfrm>
            <a:off x="1270000" y="834572"/>
            <a:ext cx="40788771" cy="26383343"/>
            <a:chOff x="36457653" y="161717"/>
            <a:chExt cx="38751383" cy="24998742"/>
          </a:xfrm>
        </xdr:grpSpPr>
        <xdr:sp macro="" textlink="">
          <xdr:nvSpPr>
            <xdr:cNvPr id="69" name="Rectangle 68">
              <a:extLst>
                <a:ext uri="{FF2B5EF4-FFF2-40B4-BE49-F238E27FC236}">
                  <a16:creationId xmlns:a16="http://schemas.microsoft.com/office/drawing/2014/main" id="{EE057D1A-12B2-AC52-91C6-39AE963C75ED}"/>
                </a:ext>
              </a:extLst>
            </xdr:cNvPr>
            <xdr:cNvSpPr/>
          </xdr:nvSpPr>
          <xdr:spPr>
            <a:xfrm>
              <a:off x="36457653" y="161717"/>
              <a:ext cx="38751383" cy="249987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70" name="Group 69">
              <a:extLst>
                <a:ext uri="{FF2B5EF4-FFF2-40B4-BE49-F238E27FC236}">
                  <a16:creationId xmlns:a16="http://schemas.microsoft.com/office/drawing/2014/main" id="{5C781410-3F68-4E10-BFE9-42563A302F3F}"/>
                </a:ext>
              </a:extLst>
            </xdr:cNvPr>
            <xdr:cNvGrpSpPr/>
          </xdr:nvGrpSpPr>
          <xdr:grpSpPr>
            <a:xfrm>
              <a:off x="37717046" y="2438400"/>
              <a:ext cx="17584616" cy="6330462"/>
              <a:chOff x="75138504" y="2681792"/>
              <a:chExt cx="8014635" cy="4734708"/>
            </a:xfrm>
          </xdr:grpSpPr>
          <xdr:grpSp>
            <xdr:nvGrpSpPr>
              <xdr:cNvPr id="71" name="Group 70">
                <a:extLst>
                  <a:ext uri="{FF2B5EF4-FFF2-40B4-BE49-F238E27FC236}">
                    <a16:creationId xmlns:a16="http://schemas.microsoft.com/office/drawing/2014/main" id="{7991B576-3466-0A99-F23B-627ADBC61E79}"/>
                  </a:ext>
                </a:extLst>
              </xdr:cNvPr>
              <xdr:cNvGrpSpPr/>
            </xdr:nvGrpSpPr>
            <xdr:grpSpPr>
              <a:xfrm>
                <a:off x="75138504" y="2681792"/>
                <a:ext cx="8014635" cy="4734708"/>
                <a:chOff x="73944144" y="476101"/>
                <a:chExt cx="8021171" cy="5037267"/>
              </a:xfrm>
            </xdr:grpSpPr>
            <xdr:grpSp>
              <xdr:nvGrpSpPr>
                <xdr:cNvPr id="73" name="Group 72">
                  <a:extLst>
                    <a:ext uri="{FF2B5EF4-FFF2-40B4-BE49-F238E27FC236}">
                      <a16:creationId xmlns:a16="http://schemas.microsoft.com/office/drawing/2014/main" id="{9A158DA2-4C9E-FC9F-6575-FAD6B03EAA4F}"/>
                    </a:ext>
                  </a:extLst>
                </xdr:cNvPr>
                <xdr:cNvGrpSpPr/>
              </xdr:nvGrpSpPr>
              <xdr:grpSpPr>
                <a:xfrm>
                  <a:off x="73944144" y="476101"/>
                  <a:ext cx="8021171" cy="5037267"/>
                  <a:chOff x="73766979" y="479911"/>
                  <a:chExt cx="8049111" cy="4839147"/>
                </a:xfrm>
              </xdr:grpSpPr>
              <xdr:sp macro="" textlink="">
                <xdr:nvSpPr>
                  <xdr:cNvPr id="76" name="Rectangle 75">
                    <a:extLst>
                      <a:ext uri="{FF2B5EF4-FFF2-40B4-BE49-F238E27FC236}">
                        <a16:creationId xmlns:a16="http://schemas.microsoft.com/office/drawing/2014/main" id="{83924386-D614-5D56-6E8E-FE65AFD4E19A}"/>
                      </a:ext>
                    </a:extLst>
                  </xdr:cNvPr>
                  <xdr:cNvSpPr/>
                </xdr:nvSpPr>
                <xdr:spPr>
                  <a:xfrm>
                    <a:off x="73766979" y="479911"/>
                    <a:ext cx="8049111" cy="483914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77" name="Chart 76">
                    <a:extLst>
                      <a:ext uri="{FF2B5EF4-FFF2-40B4-BE49-F238E27FC236}">
                        <a16:creationId xmlns:a16="http://schemas.microsoft.com/office/drawing/2014/main" id="{B08B9441-2942-51F5-C63D-6136580224BB}"/>
                      </a:ext>
                    </a:extLst>
                  </xdr:cNvPr>
                  <xdr:cNvGraphicFramePr>
                    <a:graphicFrameLocks/>
                  </xdr:cNvGraphicFramePr>
                </xdr:nvGraphicFramePr>
                <xdr:xfrm>
                  <a:off x="76744456" y="1229361"/>
                  <a:ext cx="2744993" cy="186824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8" name="Chart 77">
                    <a:extLst>
                      <a:ext uri="{FF2B5EF4-FFF2-40B4-BE49-F238E27FC236}">
                        <a16:creationId xmlns:a16="http://schemas.microsoft.com/office/drawing/2014/main" id="{28132509-0BF6-9EC2-F7DE-E57DCBE6AE20}"/>
                      </a:ext>
                    </a:extLst>
                  </xdr:cNvPr>
                  <xdr:cNvGraphicFramePr>
                    <a:graphicFrameLocks/>
                  </xdr:cNvGraphicFramePr>
                </xdr:nvGraphicFramePr>
                <xdr:xfrm>
                  <a:off x="73858419" y="1229361"/>
                  <a:ext cx="2740212" cy="186824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9" name="Chart 78">
                    <a:extLst>
                      <a:ext uri="{FF2B5EF4-FFF2-40B4-BE49-F238E27FC236}">
                        <a16:creationId xmlns:a16="http://schemas.microsoft.com/office/drawing/2014/main" id="{C6DB9D2D-F4ED-9D9A-CFF6-82D2A4E35C49}"/>
                      </a:ext>
                    </a:extLst>
                  </xdr:cNvPr>
                  <xdr:cNvGraphicFramePr>
                    <a:graphicFrameLocks/>
                  </xdr:cNvGraphicFramePr>
                </xdr:nvGraphicFramePr>
                <xdr:xfrm>
                  <a:off x="73858419" y="3250005"/>
                  <a:ext cx="2740212" cy="186465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0" name="Chart 79">
                    <a:extLst>
                      <a:ext uri="{FF2B5EF4-FFF2-40B4-BE49-F238E27FC236}">
                        <a16:creationId xmlns:a16="http://schemas.microsoft.com/office/drawing/2014/main" id="{F8EBBD7E-2AB2-BF41-F6F7-A8D76A9F0144}"/>
                      </a:ext>
                    </a:extLst>
                  </xdr:cNvPr>
                  <xdr:cNvGraphicFramePr>
                    <a:graphicFrameLocks/>
                  </xdr:cNvGraphicFramePr>
                </xdr:nvGraphicFramePr>
                <xdr:xfrm>
                  <a:off x="76744456" y="3273911"/>
                  <a:ext cx="2743200" cy="1828800"/>
                </xdr:xfrm>
                <a:graphic>
                  <a:graphicData uri="http://schemas.openxmlformats.org/drawingml/2006/chart">
                    <c:chart xmlns:c="http://schemas.openxmlformats.org/drawingml/2006/chart" xmlns:r="http://schemas.openxmlformats.org/officeDocument/2006/relationships" r:id="rId4"/>
                  </a:graphicData>
                </a:graphic>
              </xdr:graphicFrame>
            </xdr:grpSp>
            <mc:AlternateContent xmlns:mc="http://schemas.openxmlformats.org/markup-compatibility/2006">
              <mc:Choice xmlns:a14="http://schemas.microsoft.com/office/drawing/2010/main" Requires="a14">
                <xdr:graphicFrame macro="">
                  <xdr:nvGraphicFramePr>
                    <xdr:cNvPr id="74" name="MONTH 11">
                      <a:extLst>
                        <a:ext uri="{FF2B5EF4-FFF2-40B4-BE49-F238E27FC236}">
                          <a16:creationId xmlns:a16="http://schemas.microsoft.com/office/drawing/2014/main" id="{808F40D0-A1DE-8F38-9B16-74BECCF82A0B}"/>
                        </a:ext>
                      </a:extLst>
                    </xdr:cNvPr>
                    <xdr:cNvGraphicFramePr/>
                  </xdr:nvGraphicFramePr>
                  <xdr:xfrm>
                    <a:off x="79896335" y="1256235"/>
                    <a:ext cx="1812925" cy="1268730"/>
                  </xdr:xfrm>
                  <a:graphic>
                    <a:graphicData uri="http://schemas.microsoft.com/office/drawing/2010/slicer">
                      <sle:slicer xmlns:sle="http://schemas.microsoft.com/office/drawing/2010/slicer" name="MONTH 11"/>
                    </a:graphicData>
                  </a:graphic>
                </xdr:graphicFrame>
              </mc:Choice>
              <mc:Fallback>
                <xdr:sp macro="" textlink="">
                  <xdr:nvSpPr>
                    <xdr:cNvPr id="0" name=""/>
                    <xdr:cNvSpPr>
                      <a:spLocks noTextEdit="1"/>
                    </xdr:cNvSpPr>
                  </xdr:nvSpPr>
                  <xdr:spPr>
                    <a:xfrm>
                      <a:off x="15502631" y="4328667"/>
                      <a:ext cx="4306201" cy="2119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5" name="WEEK 11">
                      <a:extLst>
                        <a:ext uri="{FF2B5EF4-FFF2-40B4-BE49-F238E27FC236}">
                          <a16:creationId xmlns:a16="http://schemas.microsoft.com/office/drawing/2014/main" id="{6A5AD7FD-C35A-C3E5-9513-DE641F000FF6}"/>
                        </a:ext>
                      </a:extLst>
                    </xdr:cNvPr>
                    <xdr:cNvGraphicFramePr/>
                  </xdr:nvGraphicFramePr>
                  <xdr:xfrm>
                    <a:off x="79896335" y="2734945"/>
                    <a:ext cx="1812925" cy="1499970"/>
                  </xdr:xfrm>
                  <a:graphic>
                    <a:graphicData uri="http://schemas.microsoft.com/office/drawing/2010/slicer">
                      <sle:slicer xmlns:sle="http://schemas.microsoft.com/office/drawing/2010/slicer" name="WEEK 11"/>
                    </a:graphicData>
                  </a:graphic>
                </xdr:graphicFrame>
              </mc:Choice>
              <mc:Fallback>
                <xdr:sp macro="" textlink="">
                  <xdr:nvSpPr>
                    <xdr:cNvPr id="0" name=""/>
                    <xdr:cNvSpPr>
                      <a:spLocks noTextEdit="1"/>
                    </xdr:cNvSpPr>
                  </xdr:nvSpPr>
                  <xdr:spPr>
                    <a:xfrm>
                      <a:off x="15502631" y="6798381"/>
                      <a:ext cx="4306201" cy="2505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72" name="Rectangle 71">
                <a:extLst>
                  <a:ext uri="{FF2B5EF4-FFF2-40B4-BE49-F238E27FC236}">
                    <a16:creationId xmlns:a16="http://schemas.microsoft.com/office/drawing/2014/main" id="{A59EE85A-61F2-F0EB-C1EA-0B25C054F430}"/>
                  </a:ext>
                </a:extLst>
              </xdr:cNvPr>
              <xdr:cNvSpPr/>
            </xdr:nvSpPr>
            <xdr:spPr>
              <a:xfrm>
                <a:off x="75236718" y="2797735"/>
                <a:ext cx="5604614" cy="52200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t>Overall Ticket Overview</a:t>
                </a:r>
              </a:p>
            </xdr:txBody>
          </xdr:sp>
        </xdr:grpSp>
        <xdr:grpSp>
          <xdr:nvGrpSpPr>
            <xdr:cNvPr id="81" name="Group 80">
              <a:extLst>
                <a:ext uri="{FF2B5EF4-FFF2-40B4-BE49-F238E27FC236}">
                  <a16:creationId xmlns:a16="http://schemas.microsoft.com/office/drawing/2014/main" id="{65681FD4-CB9A-4490-A98F-7D5EE79CD296}"/>
                </a:ext>
              </a:extLst>
            </xdr:cNvPr>
            <xdr:cNvGrpSpPr/>
          </xdr:nvGrpSpPr>
          <xdr:grpSpPr>
            <a:xfrm>
              <a:off x="56243415" y="2438400"/>
              <a:ext cx="17584616" cy="6330462"/>
              <a:chOff x="80856507" y="431132"/>
              <a:chExt cx="17532207" cy="7134439"/>
            </a:xfrm>
          </xdr:grpSpPr>
          <xdr:grpSp>
            <xdr:nvGrpSpPr>
              <xdr:cNvPr id="82" name="Group 81">
                <a:extLst>
                  <a:ext uri="{FF2B5EF4-FFF2-40B4-BE49-F238E27FC236}">
                    <a16:creationId xmlns:a16="http://schemas.microsoft.com/office/drawing/2014/main" id="{BE7E5CAB-F403-8B0A-88C4-82F41075B010}"/>
                  </a:ext>
                </a:extLst>
              </xdr:cNvPr>
              <xdr:cNvGrpSpPr/>
            </xdr:nvGrpSpPr>
            <xdr:grpSpPr>
              <a:xfrm>
                <a:off x="80856507" y="431132"/>
                <a:ext cx="17532207" cy="7134439"/>
                <a:chOff x="80892792" y="467418"/>
                <a:chExt cx="17532207" cy="7134439"/>
              </a:xfrm>
            </xdr:grpSpPr>
            <xdr:grpSp>
              <xdr:nvGrpSpPr>
                <xdr:cNvPr id="84" name="Group 83">
                  <a:extLst>
                    <a:ext uri="{FF2B5EF4-FFF2-40B4-BE49-F238E27FC236}">
                      <a16:creationId xmlns:a16="http://schemas.microsoft.com/office/drawing/2014/main" id="{98481580-55C0-47CB-DC0F-B6371F7ECFC8}"/>
                    </a:ext>
                  </a:extLst>
                </xdr:cNvPr>
                <xdr:cNvGrpSpPr/>
              </xdr:nvGrpSpPr>
              <xdr:grpSpPr>
                <a:xfrm>
                  <a:off x="80892792" y="467418"/>
                  <a:ext cx="17532207" cy="7134439"/>
                  <a:chOff x="78461649" y="467418"/>
                  <a:chExt cx="14828921" cy="7134439"/>
                </a:xfrm>
              </xdr:grpSpPr>
              <xdr:sp macro="" textlink="">
                <xdr:nvSpPr>
                  <xdr:cNvPr id="90" name="Rectangle 89">
                    <a:extLst>
                      <a:ext uri="{FF2B5EF4-FFF2-40B4-BE49-F238E27FC236}">
                        <a16:creationId xmlns:a16="http://schemas.microsoft.com/office/drawing/2014/main" id="{A0511663-B508-120F-7B5B-96A61E939298}"/>
                      </a:ext>
                    </a:extLst>
                  </xdr:cNvPr>
                  <xdr:cNvSpPr/>
                </xdr:nvSpPr>
                <xdr:spPr>
                  <a:xfrm>
                    <a:off x="78461649" y="467418"/>
                    <a:ext cx="14828921" cy="713443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91" name="Chart 90">
                    <a:extLst>
                      <a:ext uri="{FF2B5EF4-FFF2-40B4-BE49-F238E27FC236}">
                        <a16:creationId xmlns:a16="http://schemas.microsoft.com/office/drawing/2014/main" id="{0FEF8490-C69F-AEFA-78D7-28298FF0C9DC}"/>
                      </a:ext>
                    </a:extLst>
                  </xdr:cNvPr>
                  <xdr:cNvGraphicFramePr>
                    <a:graphicFrameLocks/>
                  </xdr:cNvGraphicFramePr>
                </xdr:nvGraphicFramePr>
                <xdr:xfrm>
                  <a:off x="78661222" y="1428990"/>
                  <a:ext cx="4595246" cy="279536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92" name="Chart 91">
                    <a:extLst>
                      <a:ext uri="{FF2B5EF4-FFF2-40B4-BE49-F238E27FC236}">
                        <a16:creationId xmlns:a16="http://schemas.microsoft.com/office/drawing/2014/main" id="{2A3B662B-F797-BC99-90A3-9E6A4C785569}"/>
                      </a:ext>
                    </a:extLst>
                  </xdr:cNvPr>
                  <xdr:cNvGraphicFramePr>
                    <a:graphicFrameLocks/>
                  </xdr:cNvGraphicFramePr>
                </xdr:nvGraphicFramePr>
                <xdr:xfrm>
                  <a:off x="78697507" y="4476990"/>
                  <a:ext cx="4563496" cy="278572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93" name="Chart 92">
                    <a:extLst>
                      <a:ext uri="{FF2B5EF4-FFF2-40B4-BE49-F238E27FC236}">
                        <a16:creationId xmlns:a16="http://schemas.microsoft.com/office/drawing/2014/main" id="{3EE09F33-C1CF-18FD-7113-D08DB6A50835}"/>
                      </a:ext>
                    </a:extLst>
                  </xdr:cNvPr>
                  <xdr:cNvGraphicFramePr>
                    <a:graphicFrameLocks/>
                  </xdr:cNvGraphicFramePr>
                </xdr:nvGraphicFramePr>
                <xdr:xfrm>
                  <a:off x="83505364" y="4495132"/>
                  <a:ext cx="4595246" cy="2785722"/>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94" name="Chart 93">
                    <a:extLst>
                      <a:ext uri="{FF2B5EF4-FFF2-40B4-BE49-F238E27FC236}">
                        <a16:creationId xmlns:a16="http://schemas.microsoft.com/office/drawing/2014/main" id="{261CF1E0-C499-6AC4-F607-3E40D55D2031}"/>
                      </a:ext>
                    </a:extLst>
                  </xdr:cNvPr>
                  <xdr:cNvGraphicFramePr>
                    <a:graphicFrameLocks/>
                  </xdr:cNvGraphicFramePr>
                </xdr:nvGraphicFramePr>
                <xdr:xfrm>
                  <a:off x="83487222" y="1428990"/>
                  <a:ext cx="4563496" cy="2785722"/>
                </xdr:xfrm>
                <a:graphic>
                  <a:graphicData uri="http://schemas.openxmlformats.org/drawingml/2006/chart">
                    <c:chart xmlns:c="http://schemas.openxmlformats.org/drawingml/2006/chart" xmlns:r="http://schemas.openxmlformats.org/officeDocument/2006/relationships" r:id="rId8"/>
                  </a:graphicData>
                </a:graphic>
              </xdr:graphicFrame>
            </xdr:grpSp>
            <mc:AlternateContent xmlns:mc="http://schemas.openxmlformats.org/markup-compatibility/2006">
              <mc:Choice xmlns:a14="http://schemas.microsoft.com/office/drawing/2010/main" Requires="a14">
                <xdr:graphicFrame macro="">
                  <xdr:nvGraphicFramePr>
                    <xdr:cNvPr id="85" name="MONTH 12">
                      <a:extLst>
                        <a:ext uri="{FF2B5EF4-FFF2-40B4-BE49-F238E27FC236}">
                          <a16:creationId xmlns:a16="http://schemas.microsoft.com/office/drawing/2014/main" id="{C2DCA094-F2A6-2CA0-DB8C-2E2B994ED2DA}"/>
                        </a:ext>
                      </a:extLst>
                    </xdr:cNvPr>
                    <xdr:cNvGraphicFramePr/>
                  </xdr:nvGraphicFramePr>
                  <xdr:xfrm>
                    <a:off x="92328638" y="1447438"/>
                    <a:ext cx="1828800" cy="2466975"/>
                  </xdr:xfrm>
                  <a:graphic>
                    <a:graphicData uri="http://schemas.microsoft.com/office/drawing/2010/slicer">
                      <sle:slicer xmlns:sle="http://schemas.microsoft.com/office/drawing/2010/slicer" name="MONTH 12"/>
                    </a:graphicData>
                  </a:graphic>
                </xdr:graphicFrame>
              </mc:Choice>
              <mc:Fallback>
                <xdr:sp macro="" textlink="">
                  <xdr:nvSpPr>
                    <xdr:cNvPr id="0" name=""/>
                    <xdr:cNvSpPr>
                      <a:spLocks noTextEdit="1"/>
                    </xdr:cNvSpPr>
                  </xdr:nvSpPr>
                  <xdr:spPr>
                    <a:xfrm>
                      <a:off x="33864907" y="4181371"/>
                      <a:ext cx="1987384" cy="2909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6" name="WEEK 12">
                      <a:extLst>
                        <a:ext uri="{FF2B5EF4-FFF2-40B4-BE49-F238E27FC236}">
                          <a16:creationId xmlns:a16="http://schemas.microsoft.com/office/drawing/2014/main" id="{5064810B-8D72-9979-4525-94E00FF94AD7}"/>
                        </a:ext>
                      </a:extLst>
                    </xdr:cNvPr>
                    <xdr:cNvGraphicFramePr/>
                  </xdr:nvGraphicFramePr>
                  <xdr:xfrm>
                    <a:off x="94332697" y="1437640"/>
                    <a:ext cx="1828800" cy="2466975"/>
                  </xdr:xfrm>
                  <a:graphic>
                    <a:graphicData uri="http://schemas.microsoft.com/office/drawing/2010/slicer">
                      <sle:slicer xmlns:sle="http://schemas.microsoft.com/office/drawing/2010/slicer" name="WEEK 12"/>
                    </a:graphicData>
                  </a:graphic>
                </xdr:graphicFrame>
              </mc:Choice>
              <mc:Fallback>
                <xdr:sp macro="" textlink="">
                  <xdr:nvSpPr>
                    <xdr:cNvPr id="0" name=""/>
                    <xdr:cNvSpPr>
                      <a:spLocks noTextEdit="1"/>
                    </xdr:cNvSpPr>
                  </xdr:nvSpPr>
                  <xdr:spPr>
                    <a:xfrm>
                      <a:off x="36042748" y="4169817"/>
                      <a:ext cx="1987384" cy="2909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7" name="Assigned To 7">
                      <a:extLst>
                        <a:ext uri="{FF2B5EF4-FFF2-40B4-BE49-F238E27FC236}">
                          <a16:creationId xmlns:a16="http://schemas.microsoft.com/office/drawing/2014/main" id="{C7835557-6591-7EEB-31D1-36162C35F34E}"/>
                        </a:ext>
                      </a:extLst>
                    </xdr:cNvPr>
                    <xdr:cNvGraphicFramePr/>
                  </xdr:nvGraphicFramePr>
                  <xdr:xfrm>
                    <a:off x="96373043" y="1445985"/>
                    <a:ext cx="1828800" cy="2466975"/>
                  </xdr:xfrm>
                  <a:graphic>
                    <a:graphicData uri="http://schemas.microsoft.com/office/drawing/2010/slicer">
                      <sle:slicer xmlns:sle="http://schemas.microsoft.com/office/drawing/2010/slicer" name="Assigned To 7"/>
                    </a:graphicData>
                  </a:graphic>
                </xdr:graphicFrame>
              </mc:Choice>
              <mc:Fallback>
                <xdr:sp macro="" textlink="">
                  <xdr:nvSpPr>
                    <xdr:cNvPr id="0" name=""/>
                    <xdr:cNvSpPr>
                      <a:spLocks noTextEdit="1"/>
                    </xdr:cNvSpPr>
                  </xdr:nvSpPr>
                  <xdr:spPr>
                    <a:xfrm>
                      <a:off x="38260023" y="4179658"/>
                      <a:ext cx="1987384" cy="2909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8" name="Disposition Folder Level 4">
                      <a:extLst>
                        <a:ext uri="{FF2B5EF4-FFF2-40B4-BE49-F238E27FC236}">
                          <a16:creationId xmlns:a16="http://schemas.microsoft.com/office/drawing/2014/main" id="{C570B3CF-BFB4-0DC1-A8D8-89033D8EC606}"/>
                        </a:ext>
                      </a:extLst>
                    </xdr:cNvPr>
                    <xdr:cNvGraphicFramePr/>
                  </xdr:nvGraphicFramePr>
                  <xdr:xfrm>
                    <a:off x="92353674" y="4139474"/>
                    <a:ext cx="1828800" cy="2466975"/>
                  </xdr:xfrm>
                  <a:graphic>
                    <a:graphicData uri="http://schemas.microsoft.com/office/drawing/2010/slicer">
                      <sle:slicer xmlns:sle="http://schemas.microsoft.com/office/drawing/2010/slicer" name="Disposition Folder Level 4"/>
                    </a:graphicData>
                  </a:graphic>
                </xdr:graphicFrame>
              </mc:Choice>
              <mc:Fallback>
                <xdr:sp macro="" textlink="">
                  <xdr:nvSpPr>
                    <xdr:cNvPr id="0" name=""/>
                    <xdr:cNvSpPr>
                      <a:spLocks noTextEdit="1"/>
                    </xdr:cNvSpPr>
                  </xdr:nvSpPr>
                  <xdr:spPr>
                    <a:xfrm>
                      <a:off x="33892114" y="7355903"/>
                      <a:ext cx="1987384" cy="2909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9" name="Issue 2 - NPS 7">
                      <a:extLst>
                        <a:ext uri="{FF2B5EF4-FFF2-40B4-BE49-F238E27FC236}">
                          <a16:creationId xmlns:a16="http://schemas.microsoft.com/office/drawing/2014/main" id="{5D6329BB-5472-6E17-33DA-1D207599CE00}"/>
                        </a:ext>
                      </a:extLst>
                    </xdr:cNvPr>
                    <xdr:cNvGraphicFramePr/>
                  </xdr:nvGraphicFramePr>
                  <xdr:xfrm>
                    <a:off x="94357735" y="4165963"/>
                    <a:ext cx="1828800" cy="2466975"/>
                  </xdr:xfrm>
                  <a:graphic>
                    <a:graphicData uri="http://schemas.microsoft.com/office/drawing/2010/slicer">
                      <sle:slicer xmlns:sle="http://schemas.microsoft.com/office/drawing/2010/slicer" name="Issue 2 - NPS 7"/>
                    </a:graphicData>
                  </a:graphic>
                </xdr:graphicFrame>
              </mc:Choice>
              <mc:Fallback>
                <xdr:sp macro="" textlink="">
                  <xdr:nvSpPr>
                    <xdr:cNvPr id="0" name=""/>
                    <xdr:cNvSpPr>
                      <a:spLocks noTextEdit="1"/>
                    </xdr:cNvSpPr>
                  </xdr:nvSpPr>
                  <xdr:spPr>
                    <a:xfrm>
                      <a:off x="36069957" y="7387140"/>
                      <a:ext cx="1987384" cy="2909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83" name="Rectangle 82">
                <a:extLst>
                  <a:ext uri="{FF2B5EF4-FFF2-40B4-BE49-F238E27FC236}">
                    <a16:creationId xmlns:a16="http://schemas.microsoft.com/office/drawing/2014/main" id="{5D08E7B3-3356-C863-A467-C7FD814C4A43}"/>
                  </a:ext>
                </a:extLst>
              </xdr:cNvPr>
              <xdr:cNvSpPr/>
            </xdr:nvSpPr>
            <xdr:spPr>
              <a:xfrm>
                <a:off x="81116714" y="598714"/>
                <a:ext cx="11194143" cy="6894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bg1"/>
                    </a:solidFill>
                  </a:rPr>
                  <a:t>PROGRAM</a:t>
                </a:r>
                <a:r>
                  <a:rPr lang="en-IN" sz="3200" b="1" baseline="0">
                    <a:solidFill>
                      <a:schemeClr val="bg1"/>
                    </a:solidFill>
                  </a:rPr>
                  <a:t> OVERALL OVERVIEW </a:t>
                </a:r>
                <a:endParaRPr lang="en-IN" sz="3200" b="1">
                  <a:solidFill>
                    <a:schemeClr val="bg1"/>
                  </a:solidFill>
                </a:endParaRPr>
              </a:p>
            </xdr:txBody>
          </xdr:sp>
        </xdr:grpSp>
        <xdr:grpSp>
          <xdr:nvGrpSpPr>
            <xdr:cNvPr id="95" name="Group 94">
              <a:extLst>
                <a:ext uri="{FF2B5EF4-FFF2-40B4-BE49-F238E27FC236}">
                  <a16:creationId xmlns:a16="http://schemas.microsoft.com/office/drawing/2014/main" id="{C3B2056F-1022-4265-A92E-4F1925D2754C}"/>
                </a:ext>
              </a:extLst>
            </xdr:cNvPr>
            <xdr:cNvGrpSpPr/>
          </xdr:nvGrpSpPr>
          <xdr:grpSpPr>
            <a:xfrm>
              <a:off x="37717046" y="10023231"/>
              <a:ext cx="17584616" cy="6330461"/>
              <a:chOff x="82446924" y="3032760"/>
              <a:chExt cx="16033956" cy="6888480"/>
            </a:xfrm>
          </xdr:grpSpPr>
          <xdr:grpSp>
            <xdr:nvGrpSpPr>
              <xdr:cNvPr id="96" name="Group 95">
                <a:extLst>
                  <a:ext uri="{FF2B5EF4-FFF2-40B4-BE49-F238E27FC236}">
                    <a16:creationId xmlns:a16="http://schemas.microsoft.com/office/drawing/2014/main" id="{475E1164-A8EA-CAA3-01BD-9E3B2B6EA48C}"/>
                  </a:ext>
                </a:extLst>
              </xdr:cNvPr>
              <xdr:cNvGrpSpPr/>
            </xdr:nvGrpSpPr>
            <xdr:grpSpPr>
              <a:xfrm>
                <a:off x="82446924" y="3032760"/>
                <a:ext cx="16033956" cy="6888480"/>
                <a:chOff x="82446924" y="3032760"/>
                <a:chExt cx="16033956" cy="6888480"/>
              </a:xfrm>
            </xdr:grpSpPr>
            <xdr:grpSp>
              <xdr:nvGrpSpPr>
                <xdr:cNvPr id="98" name="Group 97">
                  <a:extLst>
                    <a:ext uri="{FF2B5EF4-FFF2-40B4-BE49-F238E27FC236}">
                      <a16:creationId xmlns:a16="http://schemas.microsoft.com/office/drawing/2014/main" id="{17B8A7C8-D353-E272-A8CD-79844CA1FB67}"/>
                    </a:ext>
                  </a:extLst>
                </xdr:cNvPr>
                <xdr:cNvGrpSpPr/>
              </xdr:nvGrpSpPr>
              <xdr:grpSpPr>
                <a:xfrm>
                  <a:off x="82446924" y="3032760"/>
                  <a:ext cx="16033956" cy="6888480"/>
                  <a:chOff x="82418902" y="2863497"/>
                  <a:chExt cx="16048980" cy="6477148"/>
                </a:xfrm>
              </xdr:grpSpPr>
              <xdr:sp macro="" textlink="">
                <xdr:nvSpPr>
                  <xdr:cNvPr id="104" name="Rectangle 103">
                    <a:extLst>
                      <a:ext uri="{FF2B5EF4-FFF2-40B4-BE49-F238E27FC236}">
                        <a16:creationId xmlns:a16="http://schemas.microsoft.com/office/drawing/2014/main" id="{0E87197C-05CC-4CA0-6E03-545A459B6CC3}"/>
                      </a:ext>
                    </a:extLst>
                  </xdr:cNvPr>
                  <xdr:cNvSpPr/>
                </xdr:nvSpPr>
                <xdr:spPr>
                  <a:xfrm>
                    <a:off x="82418902" y="2863497"/>
                    <a:ext cx="16048980" cy="647714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05" name="Chart 104">
                    <a:extLst>
                      <a:ext uri="{FF2B5EF4-FFF2-40B4-BE49-F238E27FC236}">
                        <a16:creationId xmlns:a16="http://schemas.microsoft.com/office/drawing/2014/main" id="{90F8036E-315B-B518-8F92-8C71AAC24632}"/>
                      </a:ext>
                    </a:extLst>
                  </xdr:cNvPr>
                  <xdr:cNvGraphicFramePr>
                    <a:graphicFrameLocks/>
                  </xdr:cNvGraphicFramePr>
                </xdr:nvGraphicFramePr>
                <xdr:xfrm>
                  <a:off x="82594763" y="3692014"/>
                  <a:ext cx="4590862" cy="2524983"/>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06" name="Chart 105">
                    <a:extLst>
                      <a:ext uri="{FF2B5EF4-FFF2-40B4-BE49-F238E27FC236}">
                        <a16:creationId xmlns:a16="http://schemas.microsoft.com/office/drawing/2014/main" id="{D81B8D8D-033C-AAE0-C91C-F5DE698D78CE}"/>
                      </a:ext>
                    </a:extLst>
                  </xdr:cNvPr>
                  <xdr:cNvGraphicFramePr>
                    <a:graphicFrameLocks/>
                  </xdr:cNvGraphicFramePr>
                </xdr:nvGraphicFramePr>
                <xdr:xfrm>
                  <a:off x="82647118" y="6516245"/>
                  <a:ext cx="4596046" cy="253072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07" name="Chart 106">
                    <a:extLst>
                      <a:ext uri="{FF2B5EF4-FFF2-40B4-BE49-F238E27FC236}">
                        <a16:creationId xmlns:a16="http://schemas.microsoft.com/office/drawing/2014/main" id="{0A5AC108-F72F-BE1F-ED2A-005EFC38287B}"/>
                      </a:ext>
                    </a:extLst>
                  </xdr:cNvPr>
                  <xdr:cNvGraphicFramePr>
                    <a:graphicFrameLocks/>
                  </xdr:cNvGraphicFramePr>
                </xdr:nvGraphicFramePr>
                <xdr:xfrm>
                  <a:off x="87564452" y="3668302"/>
                  <a:ext cx="4596046" cy="2533796"/>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08" name="Chart 107">
                    <a:extLst>
                      <a:ext uri="{FF2B5EF4-FFF2-40B4-BE49-F238E27FC236}">
                        <a16:creationId xmlns:a16="http://schemas.microsoft.com/office/drawing/2014/main" id="{E71C1577-1607-EEC1-DA6D-C62D32A91052}"/>
                      </a:ext>
                    </a:extLst>
                  </xdr:cNvPr>
                  <xdr:cNvGraphicFramePr>
                    <a:graphicFrameLocks/>
                  </xdr:cNvGraphicFramePr>
                </xdr:nvGraphicFramePr>
                <xdr:xfrm>
                  <a:off x="87589417" y="6530325"/>
                  <a:ext cx="4604590" cy="2533796"/>
                </xdr:xfrm>
                <a:graphic>
                  <a:graphicData uri="http://schemas.openxmlformats.org/drawingml/2006/chart">
                    <c:chart xmlns:c="http://schemas.openxmlformats.org/drawingml/2006/chart" xmlns:r="http://schemas.openxmlformats.org/officeDocument/2006/relationships" r:id="rId12"/>
                  </a:graphicData>
                </a:graphic>
              </xdr:graphicFrame>
            </xdr:grpSp>
            <mc:AlternateContent xmlns:mc="http://schemas.openxmlformats.org/markup-compatibility/2006">
              <mc:Choice xmlns:a14="http://schemas.microsoft.com/office/drawing/2010/main" Requires="a14">
                <xdr:graphicFrame macro="">
                  <xdr:nvGraphicFramePr>
                    <xdr:cNvPr id="99" name="MONTH 13">
                      <a:extLst>
                        <a:ext uri="{FF2B5EF4-FFF2-40B4-BE49-F238E27FC236}">
                          <a16:creationId xmlns:a16="http://schemas.microsoft.com/office/drawing/2014/main" id="{E701E726-3158-CB0D-2B9F-9695079949E8}"/>
                        </a:ext>
                      </a:extLst>
                    </xdr:cNvPr>
                    <xdr:cNvGraphicFramePr/>
                  </xdr:nvGraphicFramePr>
                  <xdr:xfrm>
                    <a:off x="92428751" y="3901932"/>
                    <a:ext cx="1818968" cy="2629207"/>
                  </xdr:xfrm>
                  <a:graphic>
                    <a:graphicData uri="http://schemas.microsoft.com/office/drawing/2010/slicer">
                      <sle:slicer xmlns:sle="http://schemas.microsoft.com/office/drawing/2010/slicer" name="MONTH 13"/>
                    </a:graphicData>
                  </a:graphic>
                </xdr:graphicFrame>
              </mc:Choice>
              <mc:Fallback>
                <xdr:sp macro="" textlink="">
                  <xdr:nvSpPr>
                    <xdr:cNvPr id="0" name=""/>
                    <xdr:cNvSpPr>
                      <a:spLocks noTextEdit="1"/>
                    </xdr:cNvSpPr>
                  </xdr:nvSpPr>
                  <xdr:spPr>
                    <a:xfrm>
                      <a:off x="13225530" y="14167454"/>
                      <a:ext cx="2161407" cy="3211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0" name="WEEK 13">
                      <a:extLst>
                        <a:ext uri="{FF2B5EF4-FFF2-40B4-BE49-F238E27FC236}">
                          <a16:creationId xmlns:a16="http://schemas.microsoft.com/office/drawing/2014/main" id="{261ED2CA-FCBB-DE92-A710-0F4E1EE19522}"/>
                        </a:ext>
                      </a:extLst>
                    </xdr:cNvPr>
                    <xdr:cNvGraphicFramePr/>
                  </xdr:nvGraphicFramePr>
                  <xdr:xfrm>
                    <a:off x="94451129" y="3926758"/>
                    <a:ext cx="1818968" cy="2629207"/>
                  </xdr:xfrm>
                  <a:graphic>
                    <a:graphicData uri="http://schemas.microsoft.com/office/drawing/2010/slicer">
                      <sle:slicer xmlns:sle="http://schemas.microsoft.com/office/drawing/2010/slicer" name="WEEK 13"/>
                    </a:graphicData>
                  </a:graphic>
                </xdr:graphicFrame>
              </mc:Choice>
              <mc:Fallback>
                <xdr:sp macro="" textlink="">
                  <xdr:nvSpPr>
                    <xdr:cNvPr id="0" name=""/>
                    <xdr:cNvSpPr>
                      <a:spLocks noTextEdit="1"/>
                    </xdr:cNvSpPr>
                  </xdr:nvSpPr>
                  <xdr:spPr>
                    <a:xfrm>
                      <a:off x="15628641" y="14197775"/>
                      <a:ext cx="2161407" cy="3211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1" name="Assigned To 8">
                      <a:extLst>
                        <a:ext uri="{FF2B5EF4-FFF2-40B4-BE49-F238E27FC236}">
                          <a16:creationId xmlns:a16="http://schemas.microsoft.com/office/drawing/2014/main" id="{DE26F402-65A6-914B-5B8F-492683B87C80}"/>
                        </a:ext>
                      </a:extLst>
                    </xdr:cNvPr>
                    <xdr:cNvGraphicFramePr/>
                  </xdr:nvGraphicFramePr>
                  <xdr:xfrm>
                    <a:off x="96467479" y="3921105"/>
                    <a:ext cx="1815035" cy="2618391"/>
                  </xdr:xfrm>
                  <a:graphic>
                    <a:graphicData uri="http://schemas.microsoft.com/office/drawing/2010/slicer">
                      <sle:slicer xmlns:sle="http://schemas.microsoft.com/office/drawing/2010/slicer" name="Assigned To 8"/>
                    </a:graphicData>
                  </a:graphic>
                </xdr:graphicFrame>
              </mc:Choice>
              <mc:Fallback>
                <xdr:sp macro="" textlink="">
                  <xdr:nvSpPr>
                    <xdr:cNvPr id="0" name=""/>
                    <xdr:cNvSpPr>
                      <a:spLocks noTextEdit="1"/>
                    </xdr:cNvSpPr>
                  </xdr:nvSpPr>
                  <xdr:spPr>
                    <a:xfrm>
                      <a:off x="18024590" y="14190871"/>
                      <a:ext cx="2156734" cy="3197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2" name="Program Name 6">
                      <a:extLst>
                        <a:ext uri="{FF2B5EF4-FFF2-40B4-BE49-F238E27FC236}">
                          <a16:creationId xmlns:a16="http://schemas.microsoft.com/office/drawing/2014/main" id="{D084328E-1FF1-56CC-1BC8-9DF5A563211B}"/>
                        </a:ext>
                      </a:extLst>
                    </xdr:cNvPr>
                    <xdr:cNvGraphicFramePr/>
                  </xdr:nvGraphicFramePr>
                  <xdr:xfrm>
                    <a:off x="92390779" y="6841531"/>
                    <a:ext cx="1810119" cy="2618392"/>
                  </xdr:xfrm>
                  <a:graphic>
                    <a:graphicData uri="http://schemas.microsoft.com/office/drawing/2010/slicer">
                      <sle:slicer xmlns:sle="http://schemas.microsoft.com/office/drawing/2010/slicer" name="Program Name 6"/>
                    </a:graphicData>
                  </a:graphic>
                </xdr:graphicFrame>
              </mc:Choice>
              <mc:Fallback>
                <xdr:sp macro="" textlink="">
                  <xdr:nvSpPr>
                    <xdr:cNvPr id="0" name=""/>
                    <xdr:cNvSpPr>
                      <a:spLocks noTextEdit="1"/>
                    </xdr:cNvSpPr>
                  </xdr:nvSpPr>
                  <xdr:spPr>
                    <a:xfrm>
                      <a:off x="13180409" y="17757693"/>
                      <a:ext cx="2150892" cy="3197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3" name="Issue 2 - NPS 8">
                      <a:extLst>
                        <a:ext uri="{FF2B5EF4-FFF2-40B4-BE49-F238E27FC236}">
                          <a16:creationId xmlns:a16="http://schemas.microsoft.com/office/drawing/2014/main" id="{D2C5CA30-A368-29D9-30F2-6321C48A39ED}"/>
                        </a:ext>
                      </a:extLst>
                    </xdr:cNvPr>
                    <xdr:cNvGraphicFramePr/>
                  </xdr:nvGraphicFramePr>
                  <xdr:xfrm>
                    <a:off x="94403197" y="6851117"/>
                    <a:ext cx="1817001" cy="2618392"/>
                  </xdr:xfrm>
                  <a:graphic>
                    <a:graphicData uri="http://schemas.microsoft.com/office/drawing/2010/slicer">
                      <sle:slicer xmlns:sle="http://schemas.microsoft.com/office/drawing/2010/slicer" name="Issue 2 - NPS 8"/>
                    </a:graphicData>
                  </a:graphic>
                </xdr:graphicFrame>
              </mc:Choice>
              <mc:Fallback>
                <xdr:sp macro="" textlink="">
                  <xdr:nvSpPr>
                    <xdr:cNvPr id="0" name=""/>
                    <xdr:cNvSpPr>
                      <a:spLocks noTextEdit="1"/>
                    </xdr:cNvSpPr>
                  </xdr:nvSpPr>
                  <xdr:spPr>
                    <a:xfrm>
                      <a:off x="15571686" y="17769401"/>
                      <a:ext cx="2159070" cy="3197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97" name="Rectangle 96">
                <a:extLst>
                  <a:ext uri="{FF2B5EF4-FFF2-40B4-BE49-F238E27FC236}">
                    <a16:creationId xmlns:a16="http://schemas.microsoft.com/office/drawing/2014/main" id="{421A95B4-DBF8-7502-703C-869CD5B86894}"/>
                  </a:ext>
                </a:extLst>
              </xdr:cNvPr>
              <xdr:cNvSpPr/>
            </xdr:nvSpPr>
            <xdr:spPr>
              <a:xfrm>
                <a:off x="82627730" y="3137573"/>
                <a:ext cx="9540240" cy="624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ISSUE</a:t>
                </a:r>
                <a:r>
                  <a:rPr lang="en-IN" sz="3200" b="1" baseline="0"/>
                  <a:t> CATEGORY OVERALL OVERVIEW</a:t>
                </a:r>
              </a:p>
            </xdr:txBody>
          </xdr:sp>
        </xdr:grpSp>
        <xdr:grpSp>
          <xdr:nvGrpSpPr>
            <xdr:cNvPr id="109" name="Group 108">
              <a:extLst>
                <a:ext uri="{FF2B5EF4-FFF2-40B4-BE49-F238E27FC236}">
                  <a16:creationId xmlns:a16="http://schemas.microsoft.com/office/drawing/2014/main" id="{C45BFD81-4CEA-4A5B-91D4-54BF6DF4ECBB}"/>
                </a:ext>
              </a:extLst>
            </xdr:cNvPr>
            <xdr:cNvGrpSpPr/>
          </xdr:nvGrpSpPr>
          <xdr:grpSpPr>
            <a:xfrm>
              <a:off x="37717046" y="17811262"/>
              <a:ext cx="17584616" cy="6330461"/>
              <a:chOff x="78082783" y="10647049"/>
              <a:chExt cx="16642763" cy="7331996"/>
            </a:xfrm>
          </xdr:grpSpPr>
          <xdr:grpSp>
            <xdr:nvGrpSpPr>
              <xdr:cNvPr id="110" name="Group 109">
                <a:extLst>
                  <a:ext uri="{FF2B5EF4-FFF2-40B4-BE49-F238E27FC236}">
                    <a16:creationId xmlns:a16="http://schemas.microsoft.com/office/drawing/2014/main" id="{CC73F2FC-DA9C-BB2E-D2D1-DC31B2EF174F}"/>
                  </a:ext>
                </a:extLst>
              </xdr:cNvPr>
              <xdr:cNvGrpSpPr/>
            </xdr:nvGrpSpPr>
            <xdr:grpSpPr>
              <a:xfrm>
                <a:off x="78082783" y="10647049"/>
                <a:ext cx="16642763" cy="7331996"/>
                <a:chOff x="76923804" y="10729782"/>
                <a:chExt cx="16905167" cy="7388809"/>
              </a:xfrm>
            </xdr:grpSpPr>
            <xdr:grpSp>
              <xdr:nvGrpSpPr>
                <xdr:cNvPr id="112" name="Group 111">
                  <a:extLst>
                    <a:ext uri="{FF2B5EF4-FFF2-40B4-BE49-F238E27FC236}">
                      <a16:creationId xmlns:a16="http://schemas.microsoft.com/office/drawing/2014/main" id="{C75E0E0B-EC1C-8B56-DD63-6F50B3F9476A}"/>
                    </a:ext>
                  </a:extLst>
                </xdr:cNvPr>
                <xdr:cNvGrpSpPr/>
              </xdr:nvGrpSpPr>
              <xdr:grpSpPr>
                <a:xfrm>
                  <a:off x="76923804" y="10729782"/>
                  <a:ext cx="16905167" cy="7388809"/>
                  <a:chOff x="76740327" y="11016851"/>
                  <a:chExt cx="16665320" cy="7594607"/>
                </a:xfrm>
              </xdr:grpSpPr>
              <xdr:sp macro="" textlink="">
                <xdr:nvSpPr>
                  <xdr:cNvPr id="118" name="Rectangle 117">
                    <a:extLst>
                      <a:ext uri="{FF2B5EF4-FFF2-40B4-BE49-F238E27FC236}">
                        <a16:creationId xmlns:a16="http://schemas.microsoft.com/office/drawing/2014/main" id="{2BB64931-D79C-C3AC-FCAA-5026444BDD6F}"/>
                      </a:ext>
                    </a:extLst>
                  </xdr:cNvPr>
                  <xdr:cNvSpPr/>
                </xdr:nvSpPr>
                <xdr:spPr>
                  <a:xfrm>
                    <a:off x="76740327" y="11016851"/>
                    <a:ext cx="16665320" cy="759460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19" name="Chart 118">
                    <a:extLst>
                      <a:ext uri="{FF2B5EF4-FFF2-40B4-BE49-F238E27FC236}">
                        <a16:creationId xmlns:a16="http://schemas.microsoft.com/office/drawing/2014/main" id="{DB50BF67-B38C-2181-9B10-A6548A144A14}"/>
                      </a:ext>
                    </a:extLst>
                  </xdr:cNvPr>
                  <xdr:cNvGraphicFramePr>
                    <a:graphicFrameLocks/>
                  </xdr:cNvGraphicFramePr>
                </xdr:nvGraphicFramePr>
                <xdr:xfrm>
                  <a:off x="77015280" y="12111665"/>
                  <a:ext cx="4502502" cy="2793331"/>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20" name="Chart 119">
                    <a:extLst>
                      <a:ext uri="{FF2B5EF4-FFF2-40B4-BE49-F238E27FC236}">
                        <a16:creationId xmlns:a16="http://schemas.microsoft.com/office/drawing/2014/main" id="{14947AC2-E740-8606-D118-305D861362CC}"/>
                      </a:ext>
                    </a:extLst>
                  </xdr:cNvPr>
                  <xdr:cNvGraphicFramePr>
                    <a:graphicFrameLocks/>
                  </xdr:cNvGraphicFramePr>
                </xdr:nvGraphicFramePr>
                <xdr:xfrm>
                  <a:off x="76961552" y="15307522"/>
                  <a:ext cx="4507689" cy="2911289"/>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121" name="Chart 120">
                    <a:extLst>
                      <a:ext uri="{FF2B5EF4-FFF2-40B4-BE49-F238E27FC236}">
                        <a16:creationId xmlns:a16="http://schemas.microsoft.com/office/drawing/2014/main" id="{8AF34B3D-C4C3-5D4F-4EB7-D866A6A8C2E0}"/>
                      </a:ext>
                    </a:extLst>
                  </xdr:cNvPr>
                  <xdr:cNvGraphicFramePr>
                    <a:graphicFrameLocks/>
                  </xdr:cNvGraphicFramePr>
                </xdr:nvGraphicFramePr>
                <xdr:xfrm>
                  <a:off x="81827403" y="15372588"/>
                  <a:ext cx="4484424" cy="2904059"/>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122" name="Chart 121">
                    <a:extLst>
                      <a:ext uri="{FF2B5EF4-FFF2-40B4-BE49-F238E27FC236}">
                        <a16:creationId xmlns:a16="http://schemas.microsoft.com/office/drawing/2014/main" id="{6C00DCB3-807A-9283-2C55-086B089ECDCC}"/>
                      </a:ext>
                    </a:extLst>
                  </xdr:cNvPr>
                  <xdr:cNvGraphicFramePr>
                    <a:graphicFrameLocks/>
                  </xdr:cNvGraphicFramePr>
                </xdr:nvGraphicFramePr>
                <xdr:xfrm>
                  <a:off x="81829572" y="12084927"/>
                  <a:ext cx="4490208" cy="2904058"/>
                </xdr:xfrm>
                <a:graphic>
                  <a:graphicData uri="http://schemas.openxmlformats.org/drawingml/2006/chart">
                    <c:chart xmlns:c="http://schemas.openxmlformats.org/drawingml/2006/chart" xmlns:r="http://schemas.openxmlformats.org/officeDocument/2006/relationships" r:id="rId16"/>
                  </a:graphicData>
                </a:graphic>
              </xdr:graphicFrame>
            </xdr:grpSp>
            <mc:AlternateContent xmlns:mc="http://schemas.openxmlformats.org/markup-compatibility/2006">
              <mc:Choice xmlns:a14="http://schemas.microsoft.com/office/drawing/2010/main" Requires="a14">
                <xdr:graphicFrame macro="">
                  <xdr:nvGraphicFramePr>
                    <xdr:cNvPr id="113" name="MONTH 14">
                      <a:extLst>
                        <a:ext uri="{FF2B5EF4-FFF2-40B4-BE49-F238E27FC236}">
                          <a16:creationId xmlns:a16="http://schemas.microsoft.com/office/drawing/2014/main" id="{7E8C9AA7-DFF4-AEC2-9030-F1E2A7230A31}"/>
                        </a:ext>
                      </a:extLst>
                    </xdr:cNvPr>
                    <xdr:cNvGraphicFramePr/>
                  </xdr:nvGraphicFramePr>
                  <xdr:xfrm>
                    <a:off x="87057137" y="11788247"/>
                    <a:ext cx="1812466" cy="2486860"/>
                  </xdr:xfrm>
                  <a:graphic>
                    <a:graphicData uri="http://schemas.microsoft.com/office/drawing/2010/slicer">
                      <sle:slicer xmlns:sle="http://schemas.microsoft.com/office/drawing/2010/slicer" name="MONTH 14"/>
                    </a:graphicData>
                  </a:graphic>
                </xdr:graphicFrame>
              </mc:Choice>
              <mc:Fallback>
                <xdr:sp macro="" textlink="">
                  <xdr:nvSpPr>
                    <xdr:cNvPr id="0" name=""/>
                    <xdr:cNvSpPr>
                      <a:spLocks noTextEdit="1"/>
                    </xdr:cNvSpPr>
                  </xdr:nvSpPr>
                  <xdr:spPr>
                    <a:xfrm>
                      <a:off x="12785021" y="24661360"/>
                      <a:ext cx="2042691" cy="2831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4" name="WEEK 14">
                      <a:extLst>
                        <a:ext uri="{FF2B5EF4-FFF2-40B4-BE49-F238E27FC236}">
                          <a16:creationId xmlns:a16="http://schemas.microsoft.com/office/drawing/2014/main" id="{FE83171B-097E-DAF1-708F-638B1C23CEEF}"/>
                        </a:ext>
                      </a:extLst>
                    </xdr:cNvPr>
                    <xdr:cNvGraphicFramePr/>
                  </xdr:nvGraphicFramePr>
                  <xdr:xfrm>
                    <a:off x="89328927" y="11819487"/>
                    <a:ext cx="1812466" cy="2485439"/>
                  </xdr:xfrm>
                  <a:graphic>
                    <a:graphicData uri="http://schemas.microsoft.com/office/drawing/2010/slicer">
                      <sle:slicer xmlns:sle="http://schemas.microsoft.com/office/drawing/2010/slicer" name="WEEK 14"/>
                    </a:graphicData>
                  </a:graphic>
                </xdr:graphicFrame>
              </mc:Choice>
              <mc:Fallback>
                <xdr:sp macro="" textlink="">
                  <xdr:nvSpPr>
                    <xdr:cNvPr id="0" name=""/>
                    <xdr:cNvSpPr>
                      <a:spLocks noTextEdit="1"/>
                    </xdr:cNvSpPr>
                  </xdr:nvSpPr>
                  <xdr:spPr>
                    <a:xfrm>
                      <a:off x="15345381" y="24696931"/>
                      <a:ext cx="2042691" cy="2830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5" name="Assigned To 9">
                      <a:extLst>
                        <a:ext uri="{FF2B5EF4-FFF2-40B4-BE49-F238E27FC236}">
                          <a16:creationId xmlns:a16="http://schemas.microsoft.com/office/drawing/2014/main" id="{4835AFF7-3B00-05F4-7D2F-92B6EEAAF748}"/>
                        </a:ext>
                      </a:extLst>
                    </xdr:cNvPr>
                    <xdr:cNvGraphicFramePr/>
                  </xdr:nvGraphicFramePr>
                  <xdr:xfrm>
                    <a:off x="91734227" y="11809538"/>
                    <a:ext cx="1805364" cy="2485439"/>
                  </xdr:xfrm>
                  <a:graphic>
                    <a:graphicData uri="http://schemas.microsoft.com/office/drawing/2010/slicer">
                      <sle:slicer xmlns:sle="http://schemas.microsoft.com/office/drawing/2010/slicer" name="Assigned To 9"/>
                    </a:graphicData>
                  </a:graphic>
                </xdr:graphicFrame>
              </mc:Choice>
              <mc:Fallback>
                <xdr:sp macro="" textlink="">
                  <xdr:nvSpPr>
                    <xdr:cNvPr id="0" name=""/>
                    <xdr:cNvSpPr>
                      <a:spLocks noTextEdit="1"/>
                    </xdr:cNvSpPr>
                  </xdr:nvSpPr>
                  <xdr:spPr>
                    <a:xfrm>
                      <a:off x="18056209" y="24685603"/>
                      <a:ext cx="2034687" cy="2830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6" name="Program Name 7">
                      <a:extLst>
                        <a:ext uri="{FF2B5EF4-FFF2-40B4-BE49-F238E27FC236}">
                          <a16:creationId xmlns:a16="http://schemas.microsoft.com/office/drawing/2014/main" id="{26322E4A-5F99-574D-1873-F58B3088123C}"/>
                        </a:ext>
                      </a:extLst>
                    </xdr:cNvPr>
                    <xdr:cNvGraphicFramePr/>
                  </xdr:nvGraphicFramePr>
                  <xdr:xfrm>
                    <a:off x="89311151" y="14877407"/>
                    <a:ext cx="1824560" cy="2485439"/>
                  </xdr:xfrm>
                  <a:graphic>
                    <a:graphicData uri="http://schemas.microsoft.com/office/drawing/2010/slicer">
                      <sle:slicer xmlns:sle="http://schemas.microsoft.com/office/drawing/2010/slicer" name="Program Name 7"/>
                    </a:graphicData>
                  </a:graphic>
                </xdr:graphicFrame>
              </mc:Choice>
              <mc:Fallback>
                <xdr:sp macro="" textlink="">
                  <xdr:nvSpPr>
                    <xdr:cNvPr id="0" name=""/>
                    <xdr:cNvSpPr>
                      <a:spLocks noTextEdit="1"/>
                    </xdr:cNvSpPr>
                  </xdr:nvSpPr>
                  <xdr:spPr>
                    <a:xfrm>
                      <a:off x="15325347" y="28178783"/>
                      <a:ext cx="2056321" cy="2830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17" name="Rectangle 116">
                  <a:extLst>
                    <a:ext uri="{FF2B5EF4-FFF2-40B4-BE49-F238E27FC236}">
                      <a16:creationId xmlns:a16="http://schemas.microsoft.com/office/drawing/2014/main" id="{2ACCD4FA-4249-097A-DD3A-F1A50E5B638B}"/>
                    </a:ext>
                  </a:extLst>
                </xdr:cNvPr>
                <xdr:cNvSpPr/>
              </xdr:nvSpPr>
              <xdr:spPr>
                <a:xfrm>
                  <a:off x="77250324" y="10853351"/>
                  <a:ext cx="9576487"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ISSUE TYPE OVERALL OVERVIEW</a:t>
                  </a:r>
                </a:p>
              </xdr:txBody>
            </xdr:sp>
          </xdr:grpSp>
          <mc:AlternateContent xmlns:mc="http://schemas.openxmlformats.org/markup-compatibility/2006">
            <mc:Choice xmlns:a14="http://schemas.microsoft.com/office/drawing/2010/main" Requires="a14">
              <xdr:graphicFrame macro="">
                <xdr:nvGraphicFramePr>
                  <xdr:cNvPr id="111" name="Disposition Folder Level 2 5">
                    <a:extLst>
                      <a:ext uri="{FF2B5EF4-FFF2-40B4-BE49-F238E27FC236}">
                        <a16:creationId xmlns:a16="http://schemas.microsoft.com/office/drawing/2014/main" id="{62DD0EF9-AC81-9CBC-929D-A1B746E0C4E8}"/>
                      </a:ext>
                    </a:extLst>
                  </xdr:cNvPr>
                  <xdr:cNvGraphicFramePr/>
                </xdr:nvGraphicFramePr>
                <xdr:xfrm>
                  <a:off x="88073537" y="14788580"/>
                  <a:ext cx="1828800" cy="2466975"/>
                </xdr:xfrm>
                <a:graphic>
                  <a:graphicData uri="http://schemas.microsoft.com/office/drawing/2010/slicer">
                    <sle:slicer xmlns:sle="http://schemas.microsoft.com/office/drawing/2010/slicer" name="Disposition Folder Level 2 5"/>
                  </a:graphicData>
                </a:graphic>
              </xdr:graphicFrame>
            </mc:Choice>
            <mc:Fallback>
              <xdr:sp macro="" textlink="">
                <xdr:nvSpPr>
                  <xdr:cNvPr id="0" name=""/>
                  <xdr:cNvSpPr>
                    <a:spLocks noTextEdit="1"/>
                  </xdr:cNvSpPr>
                </xdr:nvSpPr>
                <xdr:spPr>
                  <a:xfrm>
                    <a:off x="12801863" y="28208385"/>
                    <a:ext cx="2093597" cy="2830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23" name="Group 122">
              <a:extLst>
                <a:ext uri="{FF2B5EF4-FFF2-40B4-BE49-F238E27FC236}">
                  <a16:creationId xmlns:a16="http://schemas.microsoft.com/office/drawing/2014/main" id="{32EBC93A-957A-4917-A0A9-78E27576576D}"/>
                </a:ext>
              </a:extLst>
            </xdr:cNvPr>
            <xdr:cNvGrpSpPr/>
          </xdr:nvGrpSpPr>
          <xdr:grpSpPr>
            <a:xfrm>
              <a:off x="55933154" y="10091994"/>
              <a:ext cx="17584617" cy="6330461"/>
              <a:chOff x="79442728" y="26206046"/>
              <a:chExt cx="16908475" cy="7301160"/>
            </a:xfrm>
          </xdr:grpSpPr>
          <xdr:grpSp>
            <xdr:nvGrpSpPr>
              <xdr:cNvPr id="124" name="Group 123">
                <a:extLst>
                  <a:ext uri="{FF2B5EF4-FFF2-40B4-BE49-F238E27FC236}">
                    <a16:creationId xmlns:a16="http://schemas.microsoft.com/office/drawing/2014/main" id="{238F2C65-7BB0-DA43-AD17-DD1AEACCE85D}"/>
                  </a:ext>
                </a:extLst>
              </xdr:cNvPr>
              <xdr:cNvGrpSpPr/>
            </xdr:nvGrpSpPr>
            <xdr:grpSpPr>
              <a:xfrm>
                <a:off x="79442728" y="26206046"/>
                <a:ext cx="16908475" cy="7301160"/>
                <a:chOff x="77789141" y="10726691"/>
                <a:chExt cx="16642764" cy="7331995"/>
              </a:xfrm>
            </xdr:grpSpPr>
            <xdr:grpSp>
              <xdr:nvGrpSpPr>
                <xdr:cNvPr id="130" name="Group 129">
                  <a:extLst>
                    <a:ext uri="{FF2B5EF4-FFF2-40B4-BE49-F238E27FC236}">
                      <a16:creationId xmlns:a16="http://schemas.microsoft.com/office/drawing/2014/main" id="{03FCC978-0735-1EF3-C685-8432F9FCCD30}"/>
                    </a:ext>
                  </a:extLst>
                </xdr:cNvPr>
                <xdr:cNvGrpSpPr/>
              </xdr:nvGrpSpPr>
              <xdr:grpSpPr>
                <a:xfrm>
                  <a:off x="77789141" y="10726691"/>
                  <a:ext cx="16642764" cy="7331995"/>
                  <a:chOff x="76625532" y="10810041"/>
                  <a:chExt cx="16905168" cy="7388808"/>
                </a:xfrm>
              </xdr:grpSpPr>
              <xdr:sp macro="" textlink="">
                <xdr:nvSpPr>
                  <xdr:cNvPr id="132" name="Rectangle 131">
                    <a:extLst>
                      <a:ext uri="{FF2B5EF4-FFF2-40B4-BE49-F238E27FC236}">
                        <a16:creationId xmlns:a16="http://schemas.microsoft.com/office/drawing/2014/main" id="{75446933-282E-C778-F8A0-58CDF514E9E8}"/>
                      </a:ext>
                    </a:extLst>
                  </xdr:cNvPr>
                  <xdr:cNvSpPr/>
                </xdr:nvSpPr>
                <xdr:spPr>
                  <a:xfrm>
                    <a:off x="76625532" y="10810041"/>
                    <a:ext cx="16905168" cy="738880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133" name="MONTH 15">
                        <a:extLst>
                          <a:ext uri="{FF2B5EF4-FFF2-40B4-BE49-F238E27FC236}">
                            <a16:creationId xmlns:a16="http://schemas.microsoft.com/office/drawing/2014/main" id="{60BB88C6-2660-46A4-0E87-ABF7F48CB28F}"/>
                          </a:ext>
                        </a:extLst>
                      </xdr:cNvPr>
                      <xdr:cNvGraphicFramePr/>
                    </xdr:nvGraphicFramePr>
                    <xdr:xfrm>
                      <a:off x="87057137" y="11788247"/>
                      <a:ext cx="1812466" cy="2486860"/>
                    </xdr:xfrm>
                    <a:graphic>
                      <a:graphicData uri="http://schemas.microsoft.com/office/drawing/2010/slicer">
                        <sle:slicer xmlns:sle="http://schemas.microsoft.com/office/drawing/2010/slicer" name="MONTH 15"/>
                      </a:graphicData>
                    </a:graphic>
                  </xdr:graphicFrame>
                </mc:Choice>
                <mc:Fallback>
                  <xdr:sp macro="" textlink="">
                    <xdr:nvSpPr>
                      <xdr:cNvPr id="0" name=""/>
                      <xdr:cNvSpPr>
                        <a:spLocks noTextEdit="1"/>
                      </xdr:cNvSpPr>
                    </xdr:nvSpPr>
                    <xdr:spPr>
                      <a:xfrm>
                        <a:off x="32857900" y="14311107"/>
                        <a:ext cx="2042691" cy="2831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4" name="WEEK 15">
                        <a:extLst>
                          <a:ext uri="{FF2B5EF4-FFF2-40B4-BE49-F238E27FC236}">
                            <a16:creationId xmlns:a16="http://schemas.microsoft.com/office/drawing/2014/main" id="{EF49E4AB-CC5D-379B-AAF5-22BA1910F287}"/>
                          </a:ext>
                        </a:extLst>
                      </xdr:cNvPr>
                      <xdr:cNvGraphicFramePr/>
                    </xdr:nvGraphicFramePr>
                    <xdr:xfrm>
                      <a:off x="89328927" y="11819487"/>
                      <a:ext cx="1812466" cy="2485439"/>
                    </xdr:xfrm>
                    <a:graphic>
                      <a:graphicData uri="http://schemas.microsoft.com/office/drawing/2010/slicer">
                        <sle:slicer xmlns:sle="http://schemas.microsoft.com/office/drawing/2010/slicer" name="WEEK 15"/>
                      </a:graphicData>
                    </a:graphic>
                  </xdr:graphicFrame>
                </mc:Choice>
                <mc:Fallback>
                  <xdr:sp macro="" textlink="">
                    <xdr:nvSpPr>
                      <xdr:cNvPr id="0" name=""/>
                      <xdr:cNvSpPr>
                        <a:spLocks noTextEdit="1"/>
                      </xdr:cNvSpPr>
                    </xdr:nvSpPr>
                    <xdr:spPr>
                      <a:xfrm>
                        <a:off x="35418259" y="14346678"/>
                        <a:ext cx="2042691" cy="2830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5" name="Program Name 8">
                        <a:extLst>
                          <a:ext uri="{FF2B5EF4-FFF2-40B4-BE49-F238E27FC236}">
                            <a16:creationId xmlns:a16="http://schemas.microsoft.com/office/drawing/2014/main" id="{1A73B5C7-02ED-325F-EFF3-5A6C5FE8DFED}"/>
                          </a:ext>
                        </a:extLst>
                      </xdr:cNvPr>
                      <xdr:cNvGraphicFramePr/>
                    </xdr:nvGraphicFramePr>
                    <xdr:xfrm>
                      <a:off x="89311151" y="14877407"/>
                      <a:ext cx="1824560" cy="2485439"/>
                    </xdr:xfrm>
                    <a:graphic>
                      <a:graphicData uri="http://schemas.microsoft.com/office/drawing/2010/slicer">
                        <sle:slicer xmlns:sle="http://schemas.microsoft.com/office/drawing/2010/slicer" name="Program Name 8"/>
                      </a:graphicData>
                    </a:graphic>
                  </xdr:graphicFrame>
                </mc:Choice>
                <mc:Fallback>
                  <xdr:sp macro="" textlink="">
                    <xdr:nvSpPr>
                      <xdr:cNvPr id="0" name=""/>
                      <xdr:cNvSpPr>
                        <a:spLocks noTextEdit="1"/>
                      </xdr:cNvSpPr>
                    </xdr:nvSpPr>
                    <xdr:spPr>
                      <a:xfrm>
                        <a:off x="35398225" y="17828530"/>
                        <a:ext cx="2056321" cy="2830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36" name="Rectangle 135">
                    <a:extLst>
                      <a:ext uri="{FF2B5EF4-FFF2-40B4-BE49-F238E27FC236}">
                        <a16:creationId xmlns:a16="http://schemas.microsoft.com/office/drawing/2014/main" id="{A0588ED6-5403-8867-2899-F05F388915E9}"/>
                      </a:ext>
                    </a:extLst>
                  </xdr:cNvPr>
                  <xdr:cNvSpPr/>
                </xdr:nvSpPr>
                <xdr:spPr>
                  <a:xfrm>
                    <a:off x="77121556" y="10986005"/>
                    <a:ext cx="9576487"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HANDLER OVERALL OVERVIEW</a:t>
                    </a:r>
                  </a:p>
                </xdr:txBody>
              </xdr:sp>
            </xdr:grpSp>
            <mc:AlternateContent xmlns:mc="http://schemas.openxmlformats.org/markup-compatibility/2006">
              <mc:Choice xmlns:a14="http://schemas.microsoft.com/office/drawing/2010/main" Requires="a14">
                <xdr:graphicFrame macro="">
                  <xdr:nvGraphicFramePr>
                    <xdr:cNvPr id="131" name="Disposition Folder Level 2 6">
                      <a:extLst>
                        <a:ext uri="{FF2B5EF4-FFF2-40B4-BE49-F238E27FC236}">
                          <a16:creationId xmlns:a16="http://schemas.microsoft.com/office/drawing/2014/main" id="{24D001D3-4A5F-EB3F-6517-662733AD2679}"/>
                        </a:ext>
                      </a:extLst>
                    </xdr:cNvPr>
                    <xdr:cNvGraphicFramePr/>
                  </xdr:nvGraphicFramePr>
                  <xdr:xfrm>
                    <a:off x="88073537" y="14788580"/>
                    <a:ext cx="1828800" cy="2466975"/>
                  </xdr:xfrm>
                  <a:graphic>
                    <a:graphicData uri="http://schemas.microsoft.com/office/drawing/2010/slicer">
                      <sle:slicer xmlns:sle="http://schemas.microsoft.com/office/drawing/2010/slicer" name="Disposition Folder Level 2 6"/>
                    </a:graphicData>
                  </a:graphic>
                </xdr:graphicFrame>
              </mc:Choice>
              <mc:Fallback>
                <xdr:sp macro="" textlink="">
                  <xdr:nvSpPr>
                    <xdr:cNvPr id="0" name=""/>
                    <xdr:cNvSpPr>
                      <a:spLocks noTextEdit="1"/>
                    </xdr:cNvSpPr>
                  </xdr:nvSpPr>
                  <xdr:spPr>
                    <a:xfrm>
                      <a:off x="32874741" y="17858132"/>
                      <a:ext cx="2093597" cy="2830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125" name="Chart 124">
                <a:extLst>
                  <a:ext uri="{FF2B5EF4-FFF2-40B4-BE49-F238E27FC236}">
                    <a16:creationId xmlns:a16="http://schemas.microsoft.com/office/drawing/2014/main" id="{306CDA7D-ECCF-40FA-199E-E71833844F7F}"/>
                  </a:ext>
                </a:extLst>
              </xdr:cNvPr>
              <xdr:cNvGraphicFramePr>
                <a:graphicFrameLocks/>
              </xdr:cNvGraphicFramePr>
            </xdr:nvGraphicFramePr>
            <xdr:xfrm>
              <a:off x="79919263" y="27268843"/>
              <a:ext cx="4603208" cy="2822985"/>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126" name="Chart 125">
                <a:extLst>
                  <a:ext uri="{FF2B5EF4-FFF2-40B4-BE49-F238E27FC236}">
                    <a16:creationId xmlns:a16="http://schemas.microsoft.com/office/drawing/2014/main" id="{90136351-8B56-A9CB-388B-404B0D9A1AE8}"/>
                  </a:ext>
                </a:extLst>
              </xdr:cNvPr>
              <xdr:cNvGraphicFramePr>
                <a:graphicFrameLocks/>
              </xdr:cNvGraphicFramePr>
            </xdr:nvGraphicFramePr>
            <xdr:xfrm>
              <a:off x="79909848" y="30239208"/>
              <a:ext cx="4603208" cy="2807493"/>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127" name="Chart 126">
                <a:extLst>
                  <a:ext uri="{FF2B5EF4-FFF2-40B4-BE49-F238E27FC236}">
                    <a16:creationId xmlns:a16="http://schemas.microsoft.com/office/drawing/2014/main" id="{3A804DA9-EFEA-4D1E-DD49-3B5A6AF5AA8C}"/>
                  </a:ext>
                </a:extLst>
              </xdr:cNvPr>
              <xdr:cNvGraphicFramePr>
                <a:graphicFrameLocks/>
              </xdr:cNvGraphicFramePr>
            </xdr:nvGraphicFramePr>
            <xdr:xfrm>
              <a:off x="84789000" y="30270024"/>
              <a:ext cx="4614862" cy="2808194"/>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128" name="Chart 127">
                <a:extLst>
                  <a:ext uri="{FF2B5EF4-FFF2-40B4-BE49-F238E27FC236}">
                    <a16:creationId xmlns:a16="http://schemas.microsoft.com/office/drawing/2014/main" id="{EB5C286C-9DE2-E7AA-1A32-12CDE0BCA619}"/>
                  </a:ext>
                </a:extLst>
              </xdr:cNvPr>
              <xdr:cNvGraphicFramePr>
                <a:graphicFrameLocks/>
              </xdr:cNvGraphicFramePr>
            </xdr:nvGraphicFramePr>
            <xdr:xfrm>
              <a:off x="84740676" y="27278024"/>
              <a:ext cx="4614862" cy="2811079"/>
            </xdr:xfrm>
            <a:graphic>
              <a:graphicData uri="http://schemas.openxmlformats.org/drawingml/2006/chart">
                <c:chart xmlns:c="http://schemas.openxmlformats.org/drawingml/2006/chart" xmlns:r="http://schemas.openxmlformats.org/officeDocument/2006/relationships" r:id="rId20"/>
              </a:graphicData>
            </a:graphic>
          </xdr:graphicFrame>
          <mc:AlternateContent xmlns:mc="http://schemas.openxmlformats.org/markup-compatibility/2006">
            <mc:Choice xmlns:a14="http://schemas.microsoft.com/office/drawing/2010/main" Requires="a14">
              <xdr:graphicFrame macro="">
                <xdr:nvGraphicFramePr>
                  <xdr:cNvPr id="129" name="Issue 2 - NPS 9">
                    <a:extLst>
                      <a:ext uri="{FF2B5EF4-FFF2-40B4-BE49-F238E27FC236}">
                        <a16:creationId xmlns:a16="http://schemas.microsoft.com/office/drawing/2014/main" id="{BC1EFAA1-BA15-7AB3-C631-7877ABDB9C23}"/>
                      </a:ext>
                    </a:extLst>
                  </xdr:cNvPr>
                  <xdr:cNvGraphicFramePr/>
                </xdr:nvGraphicFramePr>
                <xdr:xfrm>
                  <a:off x="94310499" y="27193539"/>
                  <a:ext cx="1828800" cy="2466975"/>
                </xdr:xfrm>
                <a:graphic>
                  <a:graphicData uri="http://schemas.microsoft.com/office/drawing/2010/slicer">
                    <sle:slicer xmlns:sle="http://schemas.microsoft.com/office/drawing/2010/slicer" name="Issue 2 - NPS 9"/>
                  </a:graphicData>
                </a:graphic>
              </xdr:graphicFrame>
            </mc:Choice>
            <mc:Fallback>
              <xdr:sp macro="" textlink="">
                <xdr:nvSpPr>
                  <xdr:cNvPr id="0" name=""/>
                  <xdr:cNvSpPr>
                    <a:spLocks noTextEdit="1"/>
                  </xdr:cNvSpPr>
                </xdr:nvSpPr>
                <xdr:spPr>
                  <a:xfrm>
                    <a:off x="37854283" y="14335179"/>
                    <a:ext cx="2060697" cy="2842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grpSp>
        <xdr:nvGrpSpPr>
          <xdr:cNvPr id="141" name="Group 140">
            <a:extLst>
              <a:ext uri="{FF2B5EF4-FFF2-40B4-BE49-F238E27FC236}">
                <a16:creationId xmlns:a16="http://schemas.microsoft.com/office/drawing/2014/main" id="{FE6BB0A7-19F5-430D-AEC5-3504863D29C8}"/>
              </a:ext>
            </a:extLst>
          </xdr:cNvPr>
          <xdr:cNvGrpSpPr/>
        </xdr:nvGrpSpPr>
        <xdr:grpSpPr>
          <a:xfrm>
            <a:off x="22025430" y="19086285"/>
            <a:ext cx="18288000" cy="7315200"/>
            <a:chOff x="117628554" y="23099322"/>
            <a:chExt cx="18500651" cy="7860118"/>
          </a:xfrm>
        </xdr:grpSpPr>
        <xdr:grpSp>
          <xdr:nvGrpSpPr>
            <xdr:cNvPr id="142" name="Group 141">
              <a:extLst>
                <a:ext uri="{FF2B5EF4-FFF2-40B4-BE49-F238E27FC236}">
                  <a16:creationId xmlns:a16="http://schemas.microsoft.com/office/drawing/2014/main" id="{72B4ABB8-5A51-12E0-E38B-0632DB73E367}"/>
                </a:ext>
              </a:extLst>
            </xdr:cNvPr>
            <xdr:cNvGrpSpPr/>
          </xdr:nvGrpSpPr>
          <xdr:grpSpPr>
            <a:xfrm>
              <a:off x="117628554" y="23099322"/>
              <a:ext cx="18500651" cy="7860118"/>
              <a:chOff x="117455113" y="22011960"/>
              <a:chExt cx="18355508" cy="7488190"/>
            </a:xfrm>
          </xdr:grpSpPr>
          <xdr:sp macro="" textlink="">
            <xdr:nvSpPr>
              <xdr:cNvPr id="144" name="Rectangle 143">
                <a:extLst>
                  <a:ext uri="{FF2B5EF4-FFF2-40B4-BE49-F238E27FC236}">
                    <a16:creationId xmlns:a16="http://schemas.microsoft.com/office/drawing/2014/main" id="{B4A2113A-58A2-79D3-C8BE-533000D4CBBC}"/>
                  </a:ext>
                </a:extLst>
              </xdr:cNvPr>
              <xdr:cNvSpPr/>
            </xdr:nvSpPr>
            <xdr:spPr>
              <a:xfrm>
                <a:off x="117455113" y="22011960"/>
                <a:ext cx="18355508" cy="748819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45" name="Chart 144">
                <a:extLst>
                  <a:ext uri="{FF2B5EF4-FFF2-40B4-BE49-F238E27FC236}">
                    <a16:creationId xmlns:a16="http://schemas.microsoft.com/office/drawing/2014/main" id="{7DA845E3-1679-F86B-8541-52A5E15A819F}"/>
                  </a:ext>
                </a:extLst>
              </xdr:cNvPr>
              <xdr:cNvGraphicFramePr>
                <a:graphicFrameLocks/>
              </xdr:cNvGraphicFramePr>
            </xdr:nvGraphicFramePr>
            <xdr:xfrm>
              <a:off x="117863877" y="26234334"/>
              <a:ext cx="12885647" cy="2696528"/>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146" name="Chart 145">
                <a:extLst>
                  <a:ext uri="{FF2B5EF4-FFF2-40B4-BE49-F238E27FC236}">
                    <a16:creationId xmlns:a16="http://schemas.microsoft.com/office/drawing/2014/main" id="{FA366B2C-689E-C91A-69B0-CEC127A25F6B}"/>
                  </a:ext>
                </a:extLst>
              </xdr:cNvPr>
              <xdr:cNvGraphicFramePr>
                <a:graphicFrameLocks/>
              </xdr:cNvGraphicFramePr>
            </xdr:nvGraphicFramePr>
            <xdr:xfrm>
              <a:off x="123102034" y="23147538"/>
              <a:ext cx="7623983" cy="2684357"/>
            </xdr:xfrm>
            <a:graphic>
              <a:graphicData uri="http://schemas.openxmlformats.org/drawingml/2006/chart">
                <c:chart xmlns:c="http://schemas.openxmlformats.org/drawingml/2006/chart" xmlns:r="http://schemas.openxmlformats.org/officeDocument/2006/relationships" r:id="rId22"/>
              </a:graphicData>
            </a:graphic>
          </xdr:graphicFrame>
          <xdr:graphicFrame macro="">
            <xdr:nvGraphicFramePr>
              <xdr:cNvPr id="147" name="Chart 146">
                <a:extLst>
                  <a:ext uri="{FF2B5EF4-FFF2-40B4-BE49-F238E27FC236}">
                    <a16:creationId xmlns:a16="http://schemas.microsoft.com/office/drawing/2014/main" id="{C43A6AD9-266E-0EC5-C7FF-23030A8F0BB7}"/>
                  </a:ext>
                </a:extLst>
              </xdr:cNvPr>
              <xdr:cNvGraphicFramePr>
                <a:graphicFrameLocks/>
              </xdr:cNvGraphicFramePr>
            </xdr:nvGraphicFramePr>
            <xdr:xfrm>
              <a:off x="117863876" y="23147538"/>
              <a:ext cx="4943653" cy="2670627"/>
            </xdr:xfrm>
            <a:graphic>
              <a:graphicData uri="http://schemas.openxmlformats.org/drawingml/2006/chart">
                <c:chart xmlns:c="http://schemas.openxmlformats.org/drawingml/2006/chart" xmlns:r="http://schemas.openxmlformats.org/officeDocument/2006/relationships" r:id="rId23"/>
              </a:graphicData>
            </a:graphic>
          </xdr:graphicFrame>
          <xdr:graphicFrame macro="">
            <xdr:nvGraphicFramePr>
              <xdr:cNvPr id="148" name="Chart 147">
                <a:extLst>
                  <a:ext uri="{FF2B5EF4-FFF2-40B4-BE49-F238E27FC236}">
                    <a16:creationId xmlns:a16="http://schemas.microsoft.com/office/drawing/2014/main" id="{73C91F29-195C-1D9B-D58E-1AD835259AEF}"/>
                  </a:ext>
                </a:extLst>
              </xdr:cNvPr>
              <xdr:cNvGraphicFramePr>
                <a:graphicFrameLocks/>
              </xdr:cNvGraphicFramePr>
            </xdr:nvGraphicFramePr>
            <xdr:xfrm>
              <a:off x="131179531" y="26234334"/>
              <a:ext cx="4512572" cy="2693720"/>
            </xdr:xfrm>
            <a:graphic>
              <a:graphicData uri="http://schemas.openxmlformats.org/drawingml/2006/chart">
                <c:chart xmlns:c="http://schemas.openxmlformats.org/drawingml/2006/chart" xmlns:r="http://schemas.openxmlformats.org/officeDocument/2006/relationships" r:id="rId24"/>
              </a:graphicData>
            </a:graphic>
          </xdr:graphicFrame>
          <mc:AlternateContent xmlns:mc="http://schemas.openxmlformats.org/markup-compatibility/2006">
            <mc:Choice xmlns:a14="http://schemas.microsoft.com/office/drawing/2010/main" Requires="a14">
              <xdr:graphicFrame macro="">
                <xdr:nvGraphicFramePr>
                  <xdr:cNvPr id="149" name="MONTH 3">
                    <a:extLst>
                      <a:ext uri="{FF2B5EF4-FFF2-40B4-BE49-F238E27FC236}">
                        <a16:creationId xmlns:a16="http://schemas.microsoft.com/office/drawing/2014/main" id="{DC8A84F1-7741-33C6-1CD0-3D1EEC1B3E59}"/>
                      </a:ext>
                    </a:extLst>
                  </xdr:cNvPr>
                  <xdr:cNvGraphicFramePr/>
                </xdr:nvGraphicFramePr>
                <xdr:xfrm>
                  <a:off x="131218672" y="23147538"/>
                  <a:ext cx="1855354" cy="2416575"/>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35480252" y="24380395"/>
                    <a:ext cx="1902797" cy="2972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0" name="WEEK 3">
                    <a:extLst>
                      <a:ext uri="{FF2B5EF4-FFF2-40B4-BE49-F238E27FC236}">
                        <a16:creationId xmlns:a16="http://schemas.microsoft.com/office/drawing/2014/main" id="{B12FA9E8-9067-BAF7-7EE7-AF9119A1490D}"/>
                      </a:ext>
                    </a:extLst>
                  </xdr:cNvPr>
                  <xdr:cNvGraphicFramePr/>
                </xdr:nvGraphicFramePr>
                <xdr:xfrm>
                  <a:off x="133616698" y="23147538"/>
                  <a:ext cx="1829791" cy="2415022"/>
                </xdr:xfrm>
                <a:graphic>
                  <a:graphicData uri="http://schemas.microsoft.com/office/drawing/2010/slicer">
                    <sle:slicer xmlns:sle="http://schemas.microsoft.com/office/drawing/2010/slicer" name="WEEK 3"/>
                  </a:graphicData>
                </a:graphic>
              </xdr:graphicFrame>
            </mc:Choice>
            <mc:Fallback>
              <xdr:sp macro="" textlink="">
                <xdr:nvSpPr>
                  <xdr:cNvPr id="0" name=""/>
                  <xdr:cNvSpPr>
                    <a:spLocks noTextEdit="1"/>
                  </xdr:cNvSpPr>
                </xdr:nvSpPr>
                <xdr:spPr>
                  <a:xfrm>
                    <a:off x="37939598" y="24380395"/>
                    <a:ext cx="1876581" cy="2970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143" name="Rectangle 142">
              <a:extLst>
                <a:ext uri="{FF2B5EF4-FFF2-40B4-BE49-F238E27FC236}">
                  <a16:creationId xmlns:a16="http://schemas.microsoft.com/office/drawing/2014/main" id="{D94EDB6E-EAD7-8D3E-23A2-25CD4915DC1B}"/>
                </a:ext>
              </a:extLst>
            </xdr:cNvPr>
            <xdr:cNvSpPr/>
          </xdr:nvSpPr>
          <xdr:spPr>
            <a:xfrm>
              <a:off x="118040549" y="23393400"/>
              <a:ext cx="12973050" cy="781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OVERALL TICKET OVERVIEW</a:t>
              </a:r>
            </a:p>
          </xdr:txBody>
        </xdr:sp>
      </xdr:grpSp>
      <xdr:sp macro="" textlink="">
        <xdr:nvSpPr>
          <xdr:cNvPr id="151" name="Rectangle 150">
            <a:extLst>
              <a:ext uri="{FF2B5EF4-FFF2-40B4-BE49-F238E27FC236}">
                <a16:creationId xmlns:a16="http://schemas.microsoft.com/office/drawing/2014/main" id="{4AB620CD-89F5-D043-1E08-2B054E32AE4A}"/>
              </a:ext>
            </a:extLst>
          </xdr:cNvPr>
          <xdr:cNvSpPr/>
        </xdr:nvSpPr>
        <xdr:spPr>
          <a:xfrm>
            <a:off x="3011714" y="834571"/>
            <a:ext cx="37410572" cy="20682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0" b="1"/>
              <a:t>KPI DASHBOARD</a:t>
            </a:r>
            <a:r>
              <a:rPr lang="en-IN" sz="8000" b="1" baseline="0"/>
              <a:t> </a:t>
            </a:r>
            <a:endParaRPr lang="en-IN" sz="8000" b="1"/>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29.109759143517" createdVersion="8" refreshedVersion="8" minRefreshableVersion="3" recordCount="225" xr:uid="{B7B7904C-317E-4D59-8D04-E7428D04158A}">
  <cacheSource type="worksheet">
    <worksheetSource ref="U1:AU226" sheet="BASE"/>
  </cacheSource>
  <cacheFields count="27">
    <cacheField name="Ticket No" numFmtId="0">
      <sharedItems containsSemiMixedTypes="0" containsString="0" containsNumber="1" containsInteger="1" minValue="75401166414" maxValue="75997391512" count="225">
        <n v="75977909930"/>
        <n v="75809123009"/>
        <n v="75899714064"/>
        <n v="75434770706"/>
        <n v="75427633490"/>
        <n v="75537039296"/>
        <n v="75612954978"/>
        <n v="75428612164"/>
        <n v="75462911855"/>
        <n v="75650636897"/>
        <n v="75668830491"/>
        <n v="75716872439"/>
        <n v="75834245762"/>
        <n v="75588751681"/>
        <n v="75802074351"/>
        <n v="75875788930"/>
        <n v="75641096660"/>
        <n v="75862705171"/>
        <n v="75460606325"/>
        <n v="75929442753"/>
        <n v="75535497187"/>
        <n v="75777895080"/>
        <n v="75614179101"/>
        <n v="75757517705"/>
        <n v="75538288872"/>
        <n v="75606978174"/>
        <n v="75951208305"/>
        <n v="75972817675"/>
        <n v="75816396603"/>
        <n v="75407333788"/>
        <n v="75743847870"/>
        <n v="75448766522"/>
        <n v="75661899532"/>
        <n v="75679340713"/>
        <n v="75945179180"/>
        <n v="75845478870"/>
        <n v="75881331845"/>
        <n v="75540712839"/>
        <n v="75650006353"/>
        <n v="75882954920"/>
        <n v="75937722224"/>
        <n v="75821659217"/>
        <n v="75694226159"/>
        <n v="75918079974"/>
        <n v="75574485243"/>
        <n v="75720877774"/>
        <n v="75842373256"/>
        <n v="75934366139"/>
        <n v="75523662532"/>
        <n v="75706090918"/>
        <n v="75879182105"/>
        <n v="75414810579"/>
        <n v="75606938058"/>
        <n v="75898165815"/>
        <n v="75829520110"/>
        <n v="75428222260"/>
        <n v="75807903732"/>
        <n v="75895663087"/>
        <n v="75465015165"/>
        <n v="75691086098"/>
        <n v="75574429624"/>
        <n v="75709893263"/>
        <n v="75969732591"/>
        <n v="75888529624"/>
        <n v="75680383739"/>
        <n v="75675139575"/>
        <n v="75761203124"/>
        <n v="75638680070"/>
        <n v="75979196799"/>
        <n v="75541522640"/>
        <n v="75492027526"/>
        <n v="75696311802"/>
        <n v="75528205773"/>
        <n v="75780968571"/>
        <n v="75432816979"/>
        <n v="75874997731"/>
        <n v="75488087644"/>
        <n v="75410290140"/>
        <n v="75993877361"/>
        <n v="75467438668"/>
        <n v="75534568604"/>
        <n v="75862760731"/>
        <n v="75479419456"/>
        <n v="75401166414"/>
        <n v="75652082631"/>
        <n v="75454337019"/>
        <n v="75934047267"/>
        <n v="75687057426"/>
        <n v="75741511874"/>
        <n v="75997391512"/>
        <n v="75491926217"/>
        <n v="75529553265"/>
        <n v="75941394238"/>
        <n v="75504821934"/>
        <n v="75476051319"/>
        <n v="75591735734"/>
        <n v="75413585139"/>
        <n v="75543247463"/>
        <n v="75416799547"/>
        <n v="75642512383"/>
        <n v="75509856785"/>
        <n v="75651258749"/>
        <n v="75812005439"/>
        <n v="75510493305"/>
        <n v="75561669421"/>
        <n v="75823431477"/>
        <n v="75470772317"/>
        <n v="75936718857"/>
        <n v="75703932500"/>
        <n v="75719378952"/>
        <n v="75563894795"/>
        <n v="75742863363"/>
        <n v="75744851196"/>
        <n v="75658737619"/>
        <n v="75636791759"/>
        <n v="75550337960"/>
        <n v="75719331516"/>
        <n v="75570894498"/>
        <n v="75882896428"/>
        <n v="75697928718"/>
        <n v="75431656371"/>
        <n v="75715001254"/>
        <n v="75547848992"/>
        <n v="75459738492"/>
        <n v="75885242269"/>
        <n v="75930833445"/>
        <n v="75480346223"/>
        <n v="75991991695"/>
        <n v="75513669678"/>
        <n v="75770405910"/>
        <n v="75718092217"/>
        <n v="75562915636"/>
        <n v="75927986559"/>
        <n v="75602563940"/>
        <n v="75931855083"/>
        <n v="75717001612"/>
        <n v="75485068029"/>
        <n v="75993634042"/>
        <n v="75598514700"/>
        <n v="75725402780"/>
        <n v="75691751878"/>
        <n v="75728786222"/>
        <n v="75967243311"/>
        <n v="75554460628"/>
        <n v="75958260221"/>
        <n v="75775932035"/>
        <n v="75592486308"/>
        <n v="75543171768"/>
        <n v="75517999418"/>
        <n v="75765887237"/>
        <n v="75720890008"/>
        <n v="75455417727"/>
        <n v="75720364823"/>
        <n v="75990404558"/>
        <n v="75946666136"/>
        <n v="75716960306"/>
        <n v="75549502403"/>
        <n v="75462176039"/>
        <n v="75875368059"/>
        <n v="75733665422"/>
        <n v="75644961731"/>
        <n v="75863129902"/>
        <n v="75593720285"/>
        <n v="75882897882"/>
        <n v="75838404342"/>
        <n v="75533316990"/>
        <n v="75918558050"/>
        <n v="75882727494"/>
        <n v="75677818215"/>
        <n v="75723893509"/>
        <n v="75838508549"/>
        <n v="75803935666"/>
        <n v="75538460786"/>
        <n v="75858703133"/>
        <n v="75472980019"/>
        <n v="75416891857"/>
        <n v="75575913951"/>
        <n v="75988343096"/>
        <n v="75500273738"/>
        <n v="75437365109"/>
        <n v="75919884429"/>
        <n v="75581747678"/>
        <n v="75893472161"/>
        <n v="75542071170"/>
        <n v="75510152642"/>
        <n v="75888365604"/>
        <n v="75530861323"/>
        <n v="75927215082"/>
        <n v="75517434526"/>
        <n v="75627473778"/>
        <n v="75982101860"/>
        <n v="75846434187"/>
        <n v="75847286055"/>
        <n v="75778557676"/>
        <n v="75990554938"/>
        <n v="75639699130"/>
        <n v="75899154414"/>
        <n v="75430465806"/>
        <n v="75860983746"/>
        <n v="75531244840"/>
        <n v="75945985356"/>
        <n v="75588436227"/>
        <n v="75760508244"/>
        <n v="75601794412"/>
        <n v="75657553274"/>
        <n v="75538712095"/>
        <n v="75850773824"/>
        <n v="75635154329"/>
        <n v="75548604290"/>
        <n v="75749019278"/>
        <n v="75522628457"/>
        <n v="75473456403"/>
        <n v="75508482467"/>
        <n v="75631875999"/>
        <n v="75891819409"/>
        <n v="75819246503"/>
        <n v="75520483278"/>
        <n v="75796287154"/>
        <n v="75513424523"/>
        <n v="75771048258"/>
        <n v="75941755366"/>
        <n v="75985698675"/>
        <n v="75633969748"/>
        <n v="75611606895"/>
        <n v="75915057244"/>
      </sharedItems>
    </cacheField>
    <cacheField name="Created Date" numFmtId="2">
      <sharedItems containsSemiMixedTypes="0" containsString="0" containsNumber="1" containsInteger="1" minValue="45870" maxValue="45921"/>
    </cacheField>
    <cacheField name="Created Time" numFmtId="2">
      <sharedItems containsSemiMixedTypes="0" containsString="0" containsNumber="1" minValue="0.37863425925925925" maxValue="0.87187499999999996"/>
    </cacheField>
    <cacheField name="MONTH" numFmtId="0">
      <sharedItems containsSemiMixedTypes="0" containsString="0" containsNumber="1" containsInteger="1" minValue="8" maxValue="9" count="2">
        <n v="8"/>
        <n v="9"/>
      </sharedItems>
    </cacheField>
    <cacheField name="WEEK" numFmtId="0">
      <sharedItems containsSemiMixedTypes="0" containsString="0" containsNumber="1" containsInteger="1" minValue="31" maxValue="39" count="9">
        <n v="31"/>
        <n v="32"/>
        <n v="33"/>
        <n v="34"/>
        <n v="35"/>
        <n v="36"/>
        <n v="37"/>
        <n v="38"/>
        <n v="39"/>
      </sharedItems>
    </cacheField>
    <cacheField name="DAY" numFmtId="0">
      <sharedItems containsSemiMixedTypes="0" containsString="0" containsNumber="1" containsInteger="1" minValue="1" maxValue="31"/>
    </cacheField>
    <cacheField name="week_day" numFmtId="0">
      <sharedItems containsSemiMixedTypes="0" containsString="0" containsNumber="1" containsInteger="1" minValue="1" maxValue="7"/>
    </cacheField>
    <cacheField name="Hour_Between_recieved" numFmtId="0">
      <sharedItems/>
    </cacheField>
    <cacheField name="Assigned To" numFmtId="0">
      <sharedItems count="11">
        <s v="Sneha Reddy"/>
        <s v="David Wilson"/>
        <s v="Rohit Gupta"/>
        <s v="Lisa Rodriguez"/>
        <s v="Jessica Kim"/>
        <s v="Priya Sharma"/>
        <s v="Carlos Martinez"/>
        <s v="Mike Chen"/>
        <s v="Amit Patel"/>
        <s v="Sarah Johnson"/>
        <s v="Unknown_Handler"/>
      </sharedItems>
    </cacheField>
    <cacheField name="Resolved Date" numFmtId="2">
      <sharedItems containsString="0" containsBlank="1" containsNumber="1" containsInteger="1" minValue="45872" maxValue="45932"/>
    </cacheField>
    <cacheField name="Resolved Time" numFmtId="2">
      <sharedItems containsString="0" containsBlank="1" containsNumber="1" minValue="0.37662037037037038" maxValue="0.78041666666666665"/>
    </cacheField>
    <cacheField name="Landing Folder" numFmtId="0">
      <sharedItems/>
    </cacheField>
    <cacheField name="Disposition Folder Level 1" numFmtId="0">
      <sharedItems count="1">
        <s v="Counselling Team - NPS"/>
      </sharedItems>
    </cacheField>
    <cacheField name="Disposition Folder Level 2" numFmtId="0">
      <sharedItems count="4">
        <s v="Others (NPS)"/>
        <s v="Program &amp; Classroom (NPS)"/>
        <s v="Placement (NPS)"/>
        <s v="Tech (NPS)"/>
      </sharedItems>
    </cacheField>
    <cacheField name="Phone" numFmtId="0">
      <sharedItems containsSemiMixedTypes="0" containsString="0" containsNumber="1" containsInteger="1" minValue="7010621799" maxValue="9990082548"/>
    </cacheField>
    <cacheField name="Email" numFmtId="0">
      <sharedItems/>
    </cacheField>
    <cacheField name="Ticket All Remarks" numFmtId="0">
      <sharedItems longText="1"/>
    </cacheField>
    <cacheField name="Program Name" numFmtId="0">
      <sharedItems count="4">
        <s v="DSML"/>
        <s v="DevOps"/>
        <s v="Academy"/>
        <s v="AIML"/>
      </sharedItems>
    </cacheField>
    <cacheField name="Issue 2 - NPS" numFmtId="0">
      <sharedItems count="14">
        <s v="False Promise By Sales Team (NPS)"/>
        <s v="Unhappy With The Class Timings (NPS)"/>
        <s v="Looking For Career Guidance (NPS)"/>
        <s v="Frequent Resume Rejection (NPS)"/>
        <s v="Applied for jobs but no satisfactory outcome (NPS)"/>
        <s v="TA Support Related Concerns (NPS)"/>
        <s v="Projects &amp; Assignment Related Concern (NPS)"/>
        <s v="Not eligible for placements (NPS)"/>
        <s v="Lecture Notes Related (NPS)"/>
        <s v="Mentor Support Related Concerns (NPS)"/>
        <s v="Instructor Related Feedback (NPS)"/>
        <s v="Time Management Related Concerns (NPS)"/>
        <s v="Poor Class video quality (NPS)"/>
        <s v="Unhappy With Course Curriculum (NPS)"/>
      </sharedItems>
    </cacheField>
    <cacheField name="NPS Rating" numFmtId="0">
      <sharedItems containsSemiMixedTypes="0" containsString="0" containsNumber="1" containsInteger="1" minValue="1" maxValue="10"/>
    </cacheField>
    <cacheField name="Status" numFmtId="0">
      <sharedItems count="2">
        <s v="Pending"/>
        <s v="Complete"/>
      </sharedItems>
    </cacheField>
    <cacheField name="Sub Status" numFmtId="0">
      <sharedItems/>
    </cacheField>
    <cacheField name="Hours_In_Solved" numFmtId="0">
      <sharedItems containsMixedTypes="1" containsNumber="1" minValue="14.680833333462942" maxValue="293.80388888897141"/>
    </cacheField>
    <cacheField name="Days_In_Solved" numFmtId="0">
      <sharedItems containsMixedTypes="1" containsNumber="1" minValue="0.61" maxValue="12.24"/>
    </cacheField>
    <cacheField name="Day_IN _SOLVED_Bucket" numFmtId="0">
      <sharedItems count="5">
        <s v="Issue_pending"/>
        <s v="1-4 days"/>
        <s v="Issue_solved_date_absent"/>
        <s v="5-8 days"/>
        <s v="9-12 days"/>
      </sharedItems>
    </cacheField>
    <cacheField name="DAYS_SINCE_PENDING" numFmtId="0">
      <sharedItems containsMixedTypes="1" containsNumber="1" containsInteger="1" minValue="8" maxValue="59"/>
    </cacheField>
    <cacheField name="DAYS_SINCE_PENDING_BUCKET" numFmtId="0">
      <sharedItems count="3">
        <s v="&gt;20 days"/>
        <s v="STATUS-COMPLETE"/>
        <s v="8-20 days"/>
      </sharedItems>
    </cacheField>
  </cacheFields>
  <extLst>
    <ext xmlns:x14="http://schemas.microsoft.com/office/spreadsheetml/2009/9/main" uri="{725AE2AE-9491-48be-B2B4-4EB974FC3084}">
      <x14:pivotCacheDefinition pivotCacheId="1848473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
  <r>
    <x v="0"/>
    <n v="45870"/>
    <n v="0.86636574074074069"/>
    <x v="0"/>
    <x v="0"/>
    <n v="1"/>
    <n v="6"/>
    <s v="20 - 21 hr"/>
    <x v="0"/>
    <m/>
    <m/>
    <s v="Counselling Team - NPS"/>
    <x v="0"/>
    <x v="0"/>
    <n v="7947206476"/>
    <s v="learner011@example.com"/>
    <s v="Sales promised 100% job guarantee within 6 months but placement team says no such commitment exists. Feel misled about course outcomes. || Resolution: Clarified placement support terms and provided additional career assistance"/>
    <x v="0"/>
    <x v="0"/>
    <n v="8"/>
    <x v="0"/>
    <s v="Awaiting Action - Learner"/>
    <s v="Issue_pending"/>
    <s v="Issue_pending"/>
    <x v="0"/>
    <n v="59"/>
    <x v="0"/>
  </r>
  <r>
    <x v="1"/>
    <n v="45870"/>
    <n v="0.80770833333333336"/>
    <x v="0"/>
    <x v="0"/>
    <n v="1"/>
    <n v="6"/>
    <s v="19 - 20 hr"/>
    <x v="1"/>
    <n v="45872"/>
    <n v="0.68313657407407402"/>
    <s v="Counselling Team - NPS"/>
    <x v="0"/>
    <x v="1"/>
    <n v="9024977737"/>
    <s v="learner048@example.com"/>
    <s v="Evening DSML Jul25 starts at 7 PM when dinner time with family. Work-life balance getting affected due to late learning schedule. || Resolution: Introduced early evening slots (6-8 PM) based on demand"/>
    <x v="1"/>
    <x v="1"/>
    <n v="1"/>
    <x v="1"/>
    <s v="Solved"/>
    <n v="45.01027777773561"/>
    <n v="1.88"/>
    <x v="1"/>
    <s v="STATUS-COMPLETE"/>
    <x v="1"/>
  </r>
  <r>
    <x v="2"/>
    <n v="45870"/>
    <n v="0.54890046296296291"/>
    <x v="0"/>
    <x v="0"/>
    <n v="1"/>
    <n v="6"/>
    <s v="13 - 14 hr"/>
    <x v="2"/>
    <m/>
    <m/>
    <s v="Counselling Team - NPS"/>
    <x v="0"/>
    <x v="2"/>
    <n v="8335640103"/>
    <s v="learner119@example.com"/>
    <s v="Considering freelancing transition after 8 years in corporate. Need guidance on building client base, pricing projects, and managing business aspects. || Resolution: Introduced to successful freelancer mentor and provided business setup guidance"/>
    <x v="2"/>
    <x v="2"/>
    <n v="2"/>
    <x v="1"/>
    <s v="Solved"/>
    <s v="Issue_solved_date_absent"/>
    <s v="Issue_solved_date_absent"/>
    <x v="2"/>
    <s v="STATUS-COMPLETE"/>
    <x v="1"/>
  </r>
  <r>
    <x v="3"/>
    <n v="45870"/>
    <n v="0.48495370370370372"/>
    <x v="0"/>
    <x v="0"/>
    <n v="1"/>
    <n v="6"/>
    <s v="11 - 12 hr"/>
    <x v="0"/>
    <m/>
    <m/>
    <s v="Counselling Team - NPS"/>
    <x v="0"/>
    <x v="2"/>
    <n v="7948737873"/>
    <s v="learner205@example.com"/>
    <s v="Resume format doesn't work for startup applications. Too formal for young companies, but changing format affects ATS performance at large corporations. || Resolution: Created dual resume strategy for different Wipro types"/>
    <x v="0"/>
    <x v="3"/>
    <n v="4"/>
    <x v="0"/>
    <s v="In Progress"/>
    <s v="Issue_pending"/>
    <s v="Issue_pending"/>
    <x v="0"/>
    <n v="59"/>
    <x v="0"/>
  </r>
  <r>
    <x v="4"/>
    <n v="45870"/>
    <n v="0.50740740740740742"/>
    <x v="0"/>
    <x v="0"/>
    <n v="1"/>
    <n v="6"/>
    <s v="12 - 13 hr"/>
    <x v="3"/>
    <n v="45875"/>
    <n v="0.77097222222222217"/>
    <s v="Counselling Team - NPS"/>
    <x v="0"/>
    <x v="2"/>
    <n v="7351912852"/>
    <s v="learner211@example.com"/>
    <s v="Geographic restrictions limiting opportunities. Family commitments require staying in Tier-2 city but most opportunities in Bangalore/Hyderabad. || Resolution: Focused on remote opportunities and companies with distributed teams"/>
    <x v="2"/>
    <x v="4"/>
    <n v="7"/>
    <x v="1"/>
    <s v="Solved"/>
    <n v="126.32555555552244"/>
    <n v="5.26"/>
    <x v="3"/>
    <s v="STATUS-COMPLETE"/>
    <x v="1"/>
  </r>
  <r>
    <x v="5"/>
    <n v="45871"/>
    <n v="0.77362268518518518"/>
    <x v="0"/>
    <x v="0"/>
    <n v="2"/>
    <n v="7"/>
    <s v="18 - 19 hr"/>
    <x v="4"/>
    <n v="45882"/>
    <n v="0.65706018518518516"/>
    <s v="Counselling Team - NPS"/>
    <x v="0"/>
    <x v="3"/>
    <n v="9542160120"/>
    <s v="learner012@example.com"/>
    <s v="Multiple TAs provide conflicting solutions for same problem. Creates confusion about best practices and correct approach for implementation. || Resolution: Implemented TA training program and standardized solution guidelines"/>
    <x v="0"/>
    <x v="5"/>
    <n v="1"/>
    <x v="1"/>
    <s v="Solved"/>
    <n v="261.20250000001397"/>
    <n v="10.88"/>
    <x v="4"/>
    <s v="STATUS-COMPLETE"/>
    <x v="1"/>
  </r>
  <r>
    <x v="6"/>
    <n v="45871"/>
    <n v="0.44287037037037036"/>
    <x v="0"/>
    <x v="0"/>
    <n v="2"/>
    <n v="7"/>
    <s v="10 - 11 hr"/>
    <x v="1"/>
    <m/>
    <m/>
    <s v="Counselling Team - NPS"/>
    <x v="0"/>
    <x v="0"/>
    <n v="7437662764"/>
    <s v="learner016@example.com"/>
    <s v="Sales promised 100% job guarantee within 6 months but placement team says no such commitment exists. Feel misled about course outcomes. || Resolution: Clarified placement support terms and provided additional career assistance"/>
    <x v="0"/>
    <x v="0"/>
    <n v="8"/>
    <x v="0"/>
    <s v="In Progress"/>
    <s v="Issue_pending"/>
    <s v="Issue_pending"/>
    <x v="0"/>
    <n v="58"/>
    <x v="0"/>
  </r>
  <r>
    <x v="7"/>
    <n v="45871"/>
    <n v="0.77101851851851855"/>
    <x v="0"/>
    <x v="0"/>
    <n v="2"/>
    <n v="7"/>
    <s v="18 - 19 hr"/>
    <x v="0"/>
    <n v="45882"/>
    <n v="0.43515046296296295"/>
    <s v="Counselling Team - NPS"/>
    <x v="0"/>
    <x v="2"/>
    <n v="9480920839"/>
    <s v="learner107@example.com"/>
    <s v="Considering career break for higher studies (MS abroad). Need advice on timing, university selection, and maintaining professional network during studies. || Resolution: Provided comprehensive higher education guidance and alumni connections"/>
    <x v="1"/>
    <x v="2"/>
    <n v="2"/>
    <x v="1"/>
    <s v="Solved"/>
    <n v="255.9391666665324"/>
    <n v="10.66"/>
    <x v="4"/>
    <s v="STATUS-COMPLETE"/>
    <x v="1"/>
  </r>
  <r>
    <x v="8"/>
    <n v="45871"/>
    <n v="0.68983796296296296"/>
    <x v="0"/>
    <x v="0"/>
    <n v="2"/>
    <n v="7"/>
    <s v="16 - 17 hr"/>
    <x v="0"/>
    <n v="45875"/>
    <n v="0.41517361111111112"/>
    <s v="Counselling Team - NPS"/>
    <x v="0"/>
    <x v="2"/>
    <n v="7999705716"/>
    <s v="learner199@example.com"/>
    <s v="Multiple interview rounds cleared but final selection goes to internal referrals. External candidates seem disadvantaged despite equal performance. || Resolution: Expanded alumni network for referral opportunities and insider advocacy"/>
    <x v="1"/>
    <x v="4"/>
    <n v="3"/>
    <x v="1"/>
    <s v="Solved"/>
    <n v="89.408055555482861"/>
    <n v="3.73"/>
    <x v="1"/>
    <s v="STATUS-COMPLETE"/>
    <x v="1"/>
  </r>
  <r>
    <x v="9"/>
    <n v="45872"/>
    <n v="0.57696759259259256"/>
    <x v="0"/>
    <x v="1"/>
    <n v="3"/>
    <n v="1"/>
    <s v="13 - 14 hr"/>
    <x v="0"/>
    <n v="45884"/>
    <n v="0.57285879629629632"/>
    <s v="Counselling Team - NPS"/>
    <x v="0"/>
    <x v="1"/>
    <n v="9839759520"/>
    <s v="learner028@example.com"/>
    <s v="Real-time project deployment challenges not addressed in curriculum. Local development works but AWS deployment fails with configuration issues. || Resolution: Created deployment workshop series with hands-on troubleshooting"/>
    <x v="0"/>
    <x v="6"/>
    <n v="2"/>
    <x v="1"/>
    <s v="Solved"/>
    <n v="287.9013888888876"/>
    <n v="12"/>
    <x v="4"/>
    <s v="STATUS-COMPLETE"/>
    <x v="1"/>
  </r>
  <r>
    <x v="10"/>
    <n v="45872"/>
    <n v="0.37863425925925925"/>
    <x v="0"/>
    <x v="1"/>
    <n v="3"/>
    <n v="1"/>
    <s v="9 - 10 hr"/>
    <x v="0"/>
    <m/>
    <m/>
    <s v="Counselling Team - NPS"/>
    <x v="0"/>
    <x v="2"/>
    <n v="9521673791"/>
    <s v="learner030@example.com"/>
    <s v="Overqualified for junior positions, underqualified for senior roles. 6 years in different domain creates positioning challenge for appropriate level targeting. || Resolution: Developed targeted application strategy for career pivot roles"/>
    <x v="1"/>
    <x v="3"/>
    <n v="1"/>
    <x v="0"/>
    <s v="In Progress"/>
    <s v="Issue_pending"/>
    <s v="Issue_pending"/>
    <x v="0"/>
    <n v="57"/>
    <x v="0"/>
  </r>
  <r>
    <x v="11"/>
    <n v="45872"/>
    <n v="0.61627314814814815"/>
    <x v="0"/>
    <x v="1"/>
    <n v="3"/>
    <n v="1"/>
    <s v="14 - 15 hr"/>
    <x v="5"/>
    <n v="45880"/>
    <n v="0.40096064814814814"/>
    <s v="Counselling Team - NPS"/>
    <x v="0"/>
    <x v="1"/>
    <n v="7862407093"/>
    <s v="learner046@example.com"/>
    <s v="Sales promised 100% job guarantee within 6 months but placement team says no such commitment exists. Feel misled about course outcomes. || Resolution: Clarified placement support terms and provided additional career assistance"/>
    <x v="3"/>
    <x v="0"/>
    <n v="6"/>
    <x v="1"/>
    <s v="Solved"/>
    <n v="186.83250000007683"/>
    <n v="7.78"/>
    <x v="3"/>
    <s v="STATUS-COMPLETE"/>
    <x v="1"/>
  </r>
  <r>
    <x v="12"/>
    <n v="45872"/>
    <n v="0.86141203703703706"/>
    <x v="0"/>
    <x v="1"/>
    <n v="3"/>
    <n v="1"/>
    <s v="20 - 21 hr"/>
    <x v="3"/>
    <n v="45880"/>
    <n v="0.4550925925925926"/>
    <s v="Counselling Team - NPS"/>
    <x v="0"/>
    <x v="2"/>
    <n v="7494665880"/>
    <s v="learner066@example.com"/>
    <s v="Multiple interview rounds cleared but final selection goes to internal referrals. External candidates seem disadvantaged despite equal performance. || Resolution: Expanded alumni network for referral opportunities and insider advocacy"/>
    <x v="0"/>
    <x v="4"/>
    <n v="7"/>
    <x v="1"/>
    <s v="Solved"/>
    <n v="182.24833333329298"/>
    <n v="7.59"/>
    <x v="3"/>
    <s v="STATUS-COMPLETE"/>
    <x v="1"/>
  </r>
  <r>
    <x v="13"/>
    <n v="45872"/>
    <n v="0.4120949074074074"/>
    <x v="0"/>
    <x v="1"/>
    <n v="3"/>
    <n v="1"/>
    <s v="9 - 10 hr"/>
    <x v="6"/>
    <m/>
    <m/>
    <s v="Counselling Team - NPS"/>
    <x v="0"/>
    <x v="2"/>
    <n v="7800202342"/>
    <s v="learner115@example.com"/>
    <s v="Previous employment gap of 3 years due to child care responsibilities creates placement barrier. Returning mothers face additional discrimination. || Resolution: Partnered with diversity-focused companies supporting career restart initiatives"/>
    <x v="0"/>
    <x v="7"/>
    <n v="3"/>
    <x v="0"/>
    <s v="Awaiting Action - Scaler"/>
    <s v="Issue_pending"/>
    <s v="Issue_pending"/>
    <x v="0"/>
    <n v="57"/>
    <x v="0"/>
  </r>
  <r>
    <x v="14"/>
    <n v="45872"/>
    <n v="0.64508101851851851"/>
    <x v="0"/>
    <x v="1"/>
    <n v="3"/>
    <n v="1"/>
    <s v="15 - 16 hr"/>
    <x v="4"/>
    <n v="45875"/>
    <n v="0.49283564814814818"/>
    <s v="Counselling Team - NPS"/>
    <x v="0"/>
    <x v="1"/>
    <n v="8613385303"/>
    <s v="learner124@example.com"/>
    <s v="Weekend DSML Aug25 timing (10 AM - 2 PM) conflicts with family time. Children's activities and household responsibilities suffer due to class schedule. || Resolution: Created flexible weekend options with shorter session formats"/>
    <x v="0"/>
    <x v="1"/>
    <n v="3"/>
    <x v="1"/>
    <s v="Solved"/>
    <n v="68.346111111051869"/>
    <n v="2.85"/>
    <x v="1"/>
    <s v="STATUS-COMPLETE"/>
    <x v="1"/>
  </r>
  <r>
    <x v="15"/>
    <n v="45873"/>
    <n v="0.81077546296296299"/>
    <x v="0"/>
    <x v="1"/>
    <n v="4"/>
    <n v="2"/>
    <s v="19 - 20 hr"/>
    <x v="0"/>
    <m/>
    <m/>
    <s v="Counselling Team - NPS"/>
    <x v="0"/>
    <x v="2"/>
    <n v="8898565319"/>
    <s v="learner063@example.com"/>
    <s v="Career gap of 18 months for personal reasons creating red flags. Recruiters question commitment and skill currency despite recent course completion. || Resolution: Developed gap explanation strategy and skill demonstration projects"/>
    <x v="1"/>
    <x v="3"/>
    <n v="4"/>
    <x v="1"/>
    <s v="Solved"/>
    <s v="Issue_solved_date_absent"/>
    <s v="Issue_solved_date_absent"/>
    <x v="2"/>
    <s v="STATUS-COMPLETE"/>
    <x v="1"/>
  </r>
  <r>
    <x v="16"/>
    <n v="45873"/>
    <n v="0.38957175925925924"/>
    <x v="0"/>
    <x v="1"/>
    <n v="4"/>
    <n v="2"/>
    <s v="9 - 10 hr"/>
    <x v="7"/>
    <n v="45879"/>
    <n v="0.51672453703703702"/>
    <s v="Counselling Team - NPS"/>
    <x v="0"/>
    <x v="1"/>
    <n v="9791559885"/>
    <s v="learner080@example.com"/>
    <s v="Lecture slides contain only bullet points without detailed explanations. Need comprehensive notes for exam preparation and interview revision. || Resolution: Enhanced slides with detailed explanations and examples"/>
    <x v="1"/>
    <x v="8"/>
    <n v="6"/>
    <x v="1"/>
    <s v="Solved"/>
    <n v="147.05166666669538"/>
    <n v="6.13"/>
    <x v="3"/>
    <s v="STATUS-COMPLETE"/>
    <x v="1"/>
  </r>
  <r>
    <x v="17"/>
    <n v="45873"/>
    <n v="0.49740740740740741"/>
    <x v="0"/>
    <x v="1"/>
    <n v="4"/>
    <n v="2"/>
    <s v="11 - 12 hr"/>
    <x v="8"/>
    <m/>
    <m/>
    <s v="Counselling Team - NPS"/>
    <x v="0"/>
    <x v="1"/>
    <n v="8731963069"/>
    <s v="learner103@example.com"/>
    <s v="Mentor doesn't understand non-tech background. As commerce graduate transitioning to data science, need someone who understands career pivot challenges. || Resolution: Assigned mentor with similar career transition background"/>
    <x v="2"/>
    <x v="9"/>
    <n v="8"/>
    <x v="1"/>
    <s v="Solved"/>
    <s v="Issue_solved_date_absent"/>
    <s v="Issue_solved_date_absent"/>
    <x v="2"/>
    <s v="STATUS-COMPLETE"/>
    <x v="1"/>
  </r>
  <r>
    <x v="18"/>
    <n v="45873"/>
    <n v="0.48076388888888888"/>
    <x v="0"/>
    <x v="1"/>
    <n v="4"/>
    <n v="2"/>
    <s v="11 - 12 hr"/>
    <x v="1"/>
    <n v="45874"/>
    <n v="0.64460648148148147"/>
    <s v="Counselling Team - NPS"/>
    <x v="0"/>
    <x v="1"/>
    <n v="9474375067"/>
    <s v="learner127@example.com"/>
    <s v="Teaching pace in Data Structures class is inconsistent. Some days covers 3 algorithms, other days struggles with basic concepts. No structured lesson planning visible. || Resolution: Introduced standardized lesson plans with time allocations"/>
    <x v="3"/>
    <x v="10"/>
    <n v="5"/>
    <x v="1"/>
    <s v="Solved"/>
    <n v="27.932222222210839"/>
    <n v="1.1599999999999999"/>
    <x v="1"/>
    <s v="STATUS-COMPLETE"/>
    <x v="1"/>
  </r>
  <r>
    <x v="19"/>
    <n v="45873"/>
    <n v="0.64067129629629627"/>
    <x v="0"/>
    <x v="1"/>
    <n v="4"/>
    <n v="2"/>
    <s v="15 - 16 hr"/>
    <x v="4"/>
    <n v="45885"/>
    <n v="0.6325925925925926"/>
    <s v="Counselling Team - NPS"/>
    <x v="0"/>
    <x v="1"/>
    <n v="7435632331"/>
    <s v="learner207@example.com"/>
    <s v="Weekend Academy Jul25 Beginner timing (10 AM - 2 PM) conflicts with family time. Children's activities and household responsibilities suffer due to class schedule. || Resolution: Created flexible weekend options with shorter session formats"/>
    <x v="0"/>
    <x v="1"/>
    <n v="7"/>
    <x v="1"/>
    <s v="Solved"/>
    <n v="287.80611111101462"/>
    <n v="11.99"/>
    <x v="4"/>
    <s v="STATUS-COMPLETE"/>
    <x v="1"/>
  </r>
  <r>
    <x v="20"/>
    <n v="45874"/>
    <n v="0.56921296296296298"/>
    <x v="0"/>
    <x v="1"/>
    <n v="5"/>
    <n v="3"/>
    <s v="13 - 14 hr"/>
    <x v="0"/>
    <m/>
    <m/>
    <s v="Counselling Team - NPS"/>
    <x v="0"/>
    <x v="1"/>
    <n v="9355172948"/>
    <s v="learner056@example.com"/>
    <s v="Assignment datasets have data quality issues but no guidance on how to handle missing values, outliers, or inconsistent formats professionally. || Resolution: Created data cleaning tutorial series and best practices documentation"/>
    <x v="3"/>
    <x v="6"/>
    <n v="3"/>
    <x v="0"/>
    <s v="Awaiting Action - Learner"/>
    <s v="Issue_pending"/>
    <s v="Issue_pending"/>
    <x v="0"/>
    <n v="55"/>
    <x v="0"/>
  </r>
  <r>
    <x v="21"/>
    <n v="45874"/>
    <n v="0.71133101851851854"/>
    <x v="0"/>
    <x v="1"/>
    <n v="5"/>
    <n v="3"/>
    <s v="17 - 18 hr"/>
    <x v="6"/>
    <n v="45885"/>
    <n v="0.57658564814814817"/>
    <s v="Counselling Team - NPS"/>
    <x v="0"/>
    <x v="2"/>
    <n v="8940955281"/>
    <s v="learner070@example.com"/>
    <s v="Placement support limited to specific tech stacks learned in course. Want to explore adjacent technologies but placement team won't help. || Resolution: Expanded placement support to cover related MongoDB transitions"/>
    <x v="2"/>
    <x v="7"/>
    <n v="6"/>
    <x v="1"/>
    <s v="Solved"/>
    <n v="260.76611111109378"/>
    <n v="10.87"/>
    <x v="4"/>
    <s v="STATUS-COMPLETE"/>
    <x v="1"/>
  </r>
  <r>
    <x v="22"/>
    <n v="45874"/>
    <n v="0.38957175925925924"/>
    <x v="0"/>
    <x v="1"/>
    <n v="5"/>
    <n v="3"/>
    <s v="9 - 10 hr"/>
    <x v="3"/>
    <n v="45882"/>
    <n v="0.38763888888888887"/>
    <s v="Counselling Team - NPS"/>
    <x v="0"/>
    <x v="0"/>
    <n v="9213555655"/>
    <s v="learner086@example.com"/>
    <s v="Holiday classes scheduled during Diwali week without considering festival commitments. Attendance drops to 30% affecting AIML Jul25 momentum. || Resolution: Rescheduled holiday periods and created festival-friendly calendar"/>
    <x v="2"/>
    <x v="11"/>
    <n v="4"/>
    <x v="1"/>
    <s v="Solved"/>
    <n v="191.95361111109378"/>
    <n v="8"/>
    <x v="3"/>
    <s v="STATUS-COMPLETE"/>
    <x v="1"/>
  </r>
  <r>
    <x v="23"/>
    <n v="45874"/>
    <n v="0.58194444444444449"/>
    <x v="0"/>
    <x v="1"/>
    <n v="5"/>
    <n v="3"/>
    <s v="13 - 14 hr"/>
    <x v="1"/>
    <n v="45884"/>
    <n v="0.71770833333333328"/>
    <s v="Counselling Team - NPS"/>
    <x v="0"/>
    <x v="2"/>
    <n v="7816145550"/>
    <s v="learner131@example.com"/>
    <s v="Transitioning from mechanical engineering to software development. Resume lacks relevant projects and recruiters doubt career change authenticity. || Resolution: Created transition portfolio with domain-crossover projects"/>
    <x v="3"/>
    <x v="3"/>
    <n v="1"/>
    <x v="1"/>
    <s v="Solved"/>
    <n v="243.25833333330229"/>
    <n v="10.14"/>
    <x v="4"/>
    <s v="STATUS-COMPLETE"/>
    <x v="1"/>
  </r>
  <r>
    <x v="24"/>
    <n v="45874"/>
    <n v="0.45687499999999998"/>
    <x v="0"/>
    <x v="1"/>
    <n v="5"/>
    <n v="3"/>
    <s v="10 - 11 hr"/>
    <x v="8"/>
    <n v="45876"/>
    <n v="0.54005787037037034"/>
    <s v="Counselling Team - NPS"/>
    <x v="0"/>
    <x v="1"/>
    <n v="7526252306"/>
    <s v="learner195@example.com"/>
    <s v="Screen sharing resolution too low during coding sessions. Can't read code examples on mobile device. Zoom compression makes text blurry. || Resolution: Upgraded streaming quality to 1080p and optimized for mobile viewing"/>
    <x v="0"/>
    <x v="12"/>
    <n v="1"/>
    <x v="1"/>
    <s v="Solved"/>
    <n v="49.996388888801448"/>
    <n v="2.08"/>
    <x v="1"/>
    <s v="STATUS-COMPLETE"/>
    <x v="1"/>
  </r>
  <r>
    <x v="25"/>
    <n v="45874"/>
    <n v="0.53684027777777776"/>
    <x v="0"/>
    <x v="1"/>
    <n v="5"/>
    <n v="3"/>
    <s v="12 - 13 hr"/>
    <x v="1"/>
    <n v="45883"/>
    <n v="0.63112268518518522"/>
    <s v="Counselling Team - NPS"/>
    <x v="0"/>
    <x v="2"/>
    <n v="7142039044"/>
    <s v="learner221@example.com"/>
    <s v="Told course would take 6 months but curriculum actually requires 10+ months for completion. Time commitment significantly underestimated. || Resolution: Updated course duration estimates and provided realistic timeline planning"/>
    <x v="2"/>
    <x v="0"/>
    <n v="6"/>
    <x v="1"/>
    <s v="Solved"/>
    <n v="218.26277777779615"/>
    <n v="9.09"/>
    <x v="4"/>
    <s v="STATUS-COMPLETE"/>
    <x v="1"/>
  </r>
  <r>
    <x v="26"/>
    <n v="45875"/>
    <n v="0.4954513888888889"/>
    <x v="0"/>
    <x v="1"/>
    <n v="6"/>
    <n v="4"/>
    <s v="11 - 12 hr"/>
    <x v="7"/>
    <m/>
    <m/>
    <s v="Counselling Team - NPS"/>
    <x v="0"/>
    <x v="2"/>
    <n v="7953645978"/>
    <s v="learner079@example.com"/>
    <s v="Getting interview calls but salary offers 40% below market rate. Companies lowball citing 'career change' despite strong technical performance. || Resolution: Provided salary negotiation training and market benchmarking data"/>
    <x v="0"/>
    <x v="4"/>
    <n v="4"/>
    <x v="0"/>
    <s v="Awaiting Action - Learner"/>
    <s v="Issue_pending"/>
    <s v="Issue_pending"/>
    <x v="0"/>
    <n v="54"/>
    <x v="0"/>
  </r>
  <r>
    <x v="27"/>
    <n v="45875"/>
    <n v="0.43936342592592592"/>
    <x v="0"/>
    <x v="1"/>
    <n v="6"/>
    <n v="4"/>
    <s v="10 - 11 hr"/>
    <x v="5"/>
    <n v="45886"/>
    <n v="0.72023148148148153"/>
    <s v="Counselling Team - NPS"/>
    <x v="0"/>
    <x v="2"/>
    <n v="9541797909"/>
    <s v="learner097@example.com"/>
    <s v="Planning to relocate from Bangalore to Pune for family reasons. Unclear about job market, salary differences, and Zomato options in Pune tech scene. || Resolution: Connected with local Pune-based mentors and provided market insights"/>
    <x v="1"/>
    <x v="2"/>
    <n v="1"/>
    <x v="1"/>
    <s v="Solved"/>
    <n v="270.74083333328599"/>
    <n v="11.28"/>
    <x v="4"/>
    <s v="STATUS-COMPLETE"/>
    <x v="1"/>
  </r>
  <r>
    <x v="28"/>
    <n v="45875"/>
    <n v="0.44927083333333334"/>
    <x v="0"/>
    <x v="1"/>
    <n v="6"/>
    <n v="4"/>
    <s v="10 - 11 hr"/>
    <x v="2"/>
    <n v="45881"/>
    <n v="0.62520833333333337"/>
    <s v="Counselling Team - NPS"/>
    <x v="0"/>
    <x v="1"/>
    <n v="8042571199"/>
    <s v="learner147@example.com"/>
    <s v="DSML curriculum still uses Pandas 1.3 when industry standard is 2.1+. Modern data manipulation techniques like polars not covered. Outdated for current job requirements. || Resolution: Curriculum team updating all library versions and adding modern tools"/>
    <x v="0"/>
    <x v="13"/>
    <n v="3"/>
    <x v="1"/>
    <s v="Solved"/>
    <n v="148.22249999991618"/>
    <n v="6.18"/>
    <x v="3"/>
    <s v="STATUS-COMPLETE"/>
    <x v="1"/>
  </r>
  <r>
    <x v="29"/>
    <n v="45876"/>
    <n v="0.55850694444444449"/>
    <x v="0"/>
    <x v="1"/>
    <n v="7"/>
    <n v="5"/>
    <s v="13 - 14 hr"/>
    <x v="6"/>
    <n v="45879"/>
    <n v="0.68123842592592587"/>
    <s v="Counselling Team - NPS"/>
    <x v="0"/>
    <x v="2"/>
    <n v="8146731886"/>
    <s v="learner118@example.com"/>
    <s v="Multiple interview rounds cleared but final selection goes to internal referrals. External candidates seem disadvantaged despite equal performance. || Resolution: Expanded alumni network for referral opportunities and insider advocacy"/>
    <x v="3"/>
    <x v="4"/>
    <n v="1"/>
    <x v="1"/>
    <s v="Solved"/>
    <n v="74.945555555575993"/>
    <n v="3.12"/>
    <x v="1"/>
    <s v="STATUS-COMPLETE"/>
    <x v="1"/>
  </r>
  <r>
    <x v="30"/>
    <n v="45876"/>
    <n v="0.51620370370370372"/>
    <x v="0"/>
    <x v="1"/>
    <n v="7"/>
    <n v="5"/>
    <s v="12 - 13 hr"/>
    <x v="4"/>
    <m/>
    <m/>
    <s v="Counselling Team - NPS"/>
    <x v="0"/>
    <x v="2"/>
    <n v="7196346343"/>
    <s v="learner133@example.com"/>
    <s v="Career gap of 18 months for personal reasons creating red flags. Recruiters question commitment and skill currency despite recent course completion. || Resolution: Developed gap explanation strategy and skill demonstration projects"/>
    <x v="0"/>
    <x v="3"/>
    <n v="5"/>
    <x v="0"/>
    <s v="In Progress"/>
    <s v="Issue_pending"/>
    <s v="Issue_pending"/>
    <x v="0"/>
    <n v="53"/>
    <x v="0"/>
  </r>
  <r>
    <x v="31"/>
    <n v="45877"/>
    <n v="0.51780092592592597"/>
    <x v="0"/>
    <x v="1"/>
    <n v="8"/>
    <n v="6"/>
    <s v="12 - 13 hr"/>
    <x v="9"/>
    <n v="45879"/>
    <n v="0.57202546296296297"/>
    <s v="Counselling Team - NPS"/>
    <x v="0"/>
    <x v="3"/>
    <n v="7033015788"/>
    <s v="learner064@example.com"/>
    <s v="Project complexity too high for time allocated. Expected to build full e-commerce site in 2 weeks while learning React simultaneously. Unrealistic expectations. || Resolution: Redesigned project scope and extended timeline with milestone-based approach"/>
    <x v="0"/>
    <x v="6"/>
    <n v="1"/>
    <x v="1"/>
    <s v="Solved"/>
    <n v="49.301388888910878"/>
    <n v="2.0499999999999998"/>
    <x v="1"/>
    <s v="STATUS-COMPLETE"/>
    <x v="1"/>
  </r>
  <r>
    <x v="32"/>
    <n v="45877"/>
    <n v="0.71637731481481481"/>
    <x v="0"/>
    <x v="1"/>
    <n v="8"/>
    <n v="6"/>
    <s v="17 - 18 hr"/>
    <x v="5"/>
    <n v="45883"/>
    <n v="0.44711805555555556"/>
    <s v="Counselling Team - NPS"/>
    <x v="0"/>
    <x v="1"/>
    <n v="8421589752"/>
    <s v="learner157@example.com"/>
    <s v="DevOps curriculum missing GitOps, service mesh, and observability tools. Only covers basic Docker and Jenkins. Modern DevOps uses ArgoCD, Istio, Prometheus. || Resolution: Updated DevOps track with cloud-native toolchain coverage"/>
    <x v="3"/>
    <x v="13"/>
    <n v="4"/>
    <x v="1"/>
    <s v="Solved"/>
    <n v="137.53777777781943"/>
    <n v="5.73"/>
    <x v="3"/>
    <s v="STATUS-COMPLETE"/>
    <x v="1"/>
  </r>
  <r>
    <x v="33"/>
    <n v="45878"/>
    <n v="0.6390393518518519"/>
    <x v="0"/>
    <x v="1"/>
    <n v="9"/>
    <n v="7"/>
    <s v="15 - 16 hr"/>
    <x v="6"/>
    <m/>
    <m/>
    <s v="Counselling Team - NPS"/>
    <x v="0"/>
    <x v="2"/>
    <n v="8403792057"/>
    <s v="learner013@example.com"/>
    <s v="Placement eligibility criteria require 70%+ in graduation but scored 68% due to family financial crisis during college. Seems unfair exclusion. || Resolution: Reviewed eligibility criteria and created exception process for genuine hardship cases"/>
    <x v="2"/>
    <x v="7"/>
    <n v="7"/>
    <x v="0"/>
    <s v="Awaiting Action - Scaler"/>
    <s v="Issue_pending"/>
    <s v="Issue_pending"/>
    <x v="0"/>
    <n v="51"/>
    <x v="0"/>
  </r>
  <r>
    <x v="34"/>
    <n v="45878"/>
    <n v="0.57777777777777772"/>
    <x v="0"/>
    <x v="1"/>
    <n v="9"/>
    <n v="7"/>
    <s v="13 - 14 hr"/>
    <x v="3"/>
    <m/>
    <m/>
    <s v="Counselling Team - NPS"/>
    <x v="0"/>
    <x v="3"/>
    <n v="8282287615"/>
    <s v="learner036@example.com"/>
    <s v="Python assignment auto-grading system has bugs. Correct solutions marked wrong due to output formatting differences. Frustrating when code logic is perfect. || Resolution: Fixed grading system and manually reviewed affected submissions"/>
    <x v="0"/>
    <x v="6"/>
    <n v="3"/>
    <x v="0"/>
    <s v="Awaiting Action - Learner"/>
    <s v="Issue_pending"/>
    <s v="Issue_pending"/>
    <x v="0"/>
    <n v="51"/>
    <x v="0"/>
  </r>
  <r>
    <x v="35"/>
    <n v="45878"/>
    <n v="0.79644675925925923"/>
    <x v="0"/>
    <x v="1"/>
    <n v="9"/>
    <n v="7"/>
    <s v="19 - 20 hr"/>
    <x v="6"/>
    <n v="45884"/>
    <n v="0.72681712962962963"/>
    <s v="Counselling Team - NPS"/>
    <x v="0"/>
    <x v="0"/>
    <n v="9644206129"/>
    <s v="learner050@example.com"/>
    <s v="Teaching Assistant lacks depth in advanced topics. Can help with basic syntax but struggles with algorithm optimization and complexity analysis questions. || Resolution: Assigned senior TA with computer science background for advanced topic support"/>
    <x v="3"/>
    <x v="5"/>
    <n v="3"/>
    <x v="1"/>
    <s v="Solved"/>
    <n v="142.32888888887828"/>
    <n v="5.93"/>
    <x v="3"/>
    <s v="STATUS-COMPLETE"/>
    <x v="1"/>
  </r>
  <r>
    <x v="36"/>
    <n v="45878"/>
    <n v="0.60598379629629628"/>
    <x v="0"/>
    <x v="1"/>
    <n v="9"/>
    <n v="7"/>
    <s v="14 - 15 hr"/>
    <x v="7"/>
    <n v="45887"/>
    <n v="0.44935185185185184"/>
    <s v="Counselling Team - NPS"/>
    <x v="0"/>
    <x v="2"/>
    <n v="8941348507"/>
    <s v="learner054@example.com"/>
    <s v="Confused between Data Science and Machine Learning Engineer paths. Course covers both but unclear about day-to-day responsibilities and career progression in each field. || Resolution: Arranged informational interviews with professionals in both roles"/>
    <x v="0"/>
    <x v="2"/>
    <n v="2"/>
    <x v="1"/>
    <s v="Solved"/>
    <n v="212.24083333328599"/>
    <n v="8.84"/>
    <x v="4"/>
    <s v="STATUS-COMPLETE"/>
    <x v="1"/>
  </r>
  <r>
    <x v="37"/>
    <n v="45878"/>
    <n v="0.76677083333333329"/>
    <x v="0"/>
    <x v="1"/>
    <n v="9"/>
    <n v="7"/>
    <s v="18 - 19 hr"/>
    <x v="5"/>
    <m/>
    <m/>
    <s v="Counselling Team - NPS"/>
    <x v="0"/>
    <x v="3"/>
    <n v="7776727492"/>
    <s v="learner076@example.com"/>
    <s v="Mentor scheduling conflicts with work hours. Only available 11 AM - 2 PM when I'm in office meetings. Need evening or weekend availability. || Resolution: Matched with mentor having flexible evening availability"/>
    <x v="2"/>
    <x v="9"/>
    <n v="2"/>
    <x v="1"/>
    <s v="Solved"/>
    <s v="Issue_solved_date_absent"/>
    <s v="Issue_solved_date_absent"/>
    <x v="2"/>
    <s v="STATUS-COMPLETE"/>
    <x v="1"/>
  </r>
  <r>
    <x v="38"/>
    <n v="45878"/>
    <n v="0.37946759259259261"/>
    <x v="0"/>
    <x v="1"/>
    <n v="9"/>
    <n v="7"/>
    <s v="9 - 10 hr"/>
    <x v="8"/>
    <m/>
    <m/>
    <s v="Counselling Team - NPS"/>
    <x v="0"/>
    <x v="2"/>
    <n v="9028959334"/>
    <s v="learner113@example.com"/>
    <s v="Career guidance sessions focus only on technical skills. No discussion about salary negotiation, Ola culture fit, or work-life balance considerations. || Resolution: Introduced holistic career coaching covering all professional aspects"/>
    <x v="2"/>
    <x v="9"/>
    <n v="4"/>
    <x v="1"/>
    <s v="Solved"/>
    <s v="Issue_solved_date_absent"/>
    <s v="Issue_solved_date_absent"/>
    <x v="2"/>
    <s v="STATUS-COMPLETE"/>
    <x v="1"/>
  </r>
  <r>
    <x v="39"/>
    <n v="45878"/>
    <n v="0.58719907407407412"/>
    <x v="0"/>
    <x v="1"/>
    <n v="9"/>
    <n v="7"/>
    <s v="14 - 15 hr"/>
    <x v="1"/>
    <n v="45883"/>
    <n v="0.51505787037037032"/>
    <s v="Counselling Team - NPS"/>
    <x v="0"/>
    <x v="1"/>
    <n v="7221348142"/>
    <s v="learner130@example.com"/>
    <s v="Instructor Amit Gupta Amit Gupta doesn't prepare well for classes. Frequently says 'I'll get back to you' for basic SQL queries. Students lose confidence in course quality. || Resolution: Implemented mandatory instructor preparation reviews"/>
    <x v="2"/>
    <x v="10"/>
    <n v="5"/>
    <x v="1"/>
    <s v="Solved"/>
    <n v="118.26861111115431"/>
    <n v="4.93"/>
    <x v="3"/>
    <s v="STATUS-COMPLETE"/>
    <x v="1"/>
  </r>
  <r>
    <x v="40"/>
    <n v="45878"/>
    <n v="0.84864583333333332"/>
    <x v="0"/>
    <x v="1"/>
    <n v="9"/>
    <n v="7"/>
    <s v="20 - 21 hr"/>
    <x v="7"/>
    <m/>
    <m/>
    <s v="Counselling Team - NPS"/>
    <x v="0"/>
    <x v="2"/>
    <n v="8877279755"/>
    <s v="learner143@example.com"/>
    <s v="Multiple interview rounds cleared but final selection goes to internal referrals. External candidates seem disadvantaged despite equal performance. || Resolution: Expanded alumni network for referral opportunities and insider advocacy"/>
    <x v="2"/>
    <x v="4"/>
    <n v="1"/>
    <x v="0"/>
    <s v="In Progress"/>
    <s v="Issue_pending"/>
    <s v="Issue_pending"/>
    <x v="0"/>
    <n v="51"/>
    <x v="0"/>
  </r>
  <r>
    <x v="41"/>
    <n v="45878"/>
    <n v="0.67333333333333334"/>
    <x v="0"/>
    <x v="1"/>
    <n v="9"/>
    <n v="7"/>
    <s v="16 - 17 hr"/>
    <x v="3"/>
    <n v="45881"/>
    <n v="0.50677083333333328"/>
    <s v="Counselling Team - NPS"/>
    <x v="0"/>
    <x v="2"/>
    <n v="9696435541"/>
    <s v="learner168@example.com"/>
    <s v="Told course would take 6 months but curriculum actually requires 10+ months for completion. Time commitment significantly underestimated. || Resolution: Updated course duration estimates and provided realistic timeline planning"/>
    <x v="1"/>
    <x v="0"/>
    <n v="1"/>
    <x v="1"/>
    <s v="Solved"/>
    <n v="68.002499999944121"/>
    <n v="2.83"/>
    <x v="1"/>
    <s v="STATUS-COMPLETE"/>
    <x v="1"/>
  </r>
  <r>
    <x v="42"/>
    <n v="45878"/>
    <n v="0.44540509259259259"/>
    <x v="0"/>
    <x v="1"/>
    <n v="9"/>
    <n v="7"/>
    <s v="10 - 11 hr"/>
    <x v="3"/>
    <m/>
    <m/>
    <s v="Counselling Team - NPS"/>
    <x v="0"/>
    <x v="3"/>
    <n v="7353993484"/>
    <s v="learner172@example.com"/>
    <s v="TA Rohit takes 2-3 days to respond to doubt resolution requests. Critical errors in assignments go unresolved, affecting submission deadlines. || Resolution: Implemented 24-hour response SLA for TAs and hired additional support staff"/>
    <x v="3"/>
    <x v="5"/>
    <n v="8"/>
    <x v="0"/>
    <s v="Awaiting Action - Learner"/>
    <s v="Issue_pending"/>
    <s v="Issue_pending"/>
    <x v="0"/>
    <n v="51"/>
    <x v="0"/>
  </r>
  <r>
    <x v="43"/>
    <n v="45879"/>
    <n v="0.6774189814814815"/>
    <x v="0"/>
    <x v="2"/>
    <n v="10"/>
    <n v="1"/>
    <s v="16 - 17 hr"/>
    <x v="2"/>
    <n v="45891"/>
    <n v="0.56440972222222219"/>
    <s v="Counselling Team - NPS"/>
    <x v="0"/>
    <x v="0"/>
    <n v="7621232513"/>
    <s v="learner035@example.com"/>
    <s v="Mentor Amit Patel provides only generic advice like 'practice more coding'. Asked specific questions about Google interview process but got template responses. || Resolution: Connected with mentor who recently joined FAANG TCS"/>
    <x v="1"/>
    <x v="9"/>
    <n v="4"/>
    <x v="1"/>
    <s v="Solved"/>
    <n v="285.28777777781943"/>
    <n v="11.89"/>
    <x v="4"/>
    <s v="STATUS-COMPLETE"/>
    <x v="1"/>
  </r>
  <r>
    <x v="44"/>
    <n v="45879"/>
    <n v="0.65262731481481484"/>
    <x v="0"/>
    <x v="2"/>
    <n v="10"/>
    <n v="1"/>
    <s v="15 - 16 hr"/>
    <x v="3"/>
    <n v="45888"/>
    <n v="0.47290509259259261"/>
    <s v="Counselling Team - NPS"/>
    <x v="0"/>
    <x v="0"/>
    <n v="9550027973"/>
    <s v="learner106@example.com"/>
    <s v="Assignment deadlines clash with office project deliveries. Given 3 major assignments during typical sprint planning weeks. Need better coordination. || Resolution: Staggered assignment deadlines and provided extension options"/>
    <x v="1"/>
    <x v="11"/>
    <n v="1"/>
    <x v="1"/>
    <s v="Solved"/>
    <n v="211.68666666682111"/>
    <n v="8.82"/>
    <x v="4"/>
    <s v="STATUS-COMPLETE"/>
    <x v="1"/>
  </r>
  <r>
    <x v="45"/>
    <n v="45879"/>
    <n v="0.5779050925925926"/>
    <x v="0"/>
    <x v="2"/>
    <n v="10"/>
    <n v="1"/>
    <s v="13 - 14 hr"/>
    <x v="9"/>
    <n v="45883"/>
    <n v="0.60106481481481477"/>
    <s v="Counselling Team - NPS"/>
    <x v="0"/>
    <x v="0"/>
    <n v="8736851379"/>
    <s v="learner193@example.com"/>
    <s v="Academy DevOps Aug25 timing changes announced with 1-day notice. Difficult to reschedule work meetings and personal commitments on short notice. || Resolution: Implemented 1-week advance notice policy for any schedule changes"/>
    <x v="2"/>
    <x v="11"/>
    <n v="4"/>
    <x v="1"/>
    <s v="Solved"/>
    <n v="96.555833333346527"/>
    <n v="4.0199999999999996"/>
    <x v="3"/>
    <s v="STATUS-COMPLETE"/>
    <x v="1"/>
  </r>
  <r>
    <x v="46"/>
    <n v="45879"/>
    <n v="0.72920138888888886"/>
    <x v="0"/>
    <x v="2"/>
    <n v="10"/>
    <n v="1"/>
    <s v="17 - 18 hr"/>
    <x v="7"/>
    <n v="45889"/>
    <n v="0.76089120370370367"/>
    <s v="Counselling Team - NPS"/>
    <x v="0"/>
    <x v="0"/>
    <n v="8201628712"/>
    <s v="learner197@example.com"/>
    <s v="Weekly mentor sessions rushed and superficial. Last call was 8 minutes discussing 6-month career roadmap. Need dedicated time for meaningful guidance. || Resolution: Increased minimum session duration to 30 minutes with structured agenda"/>
    <x v="1"/>
    <x v="9"/>
    <n v="2"/>
    <x v="1"/>
    <s v="Solved"/>
    <n v="240.76055555557832"/>
    <n v="10.029999999999999"/>
    <x v="4"/>
    <s v="STATUS-COMPLETE"/>
    <x v="1"/>
  </r>
  <r>
    <x v="47"/>
    <n v="45880"/>
    <n v="0.75641203703703708"/>
    <x v="0"/>
    <x v="2"/>
    <n v="11"/>
    <n v="2"/>
    <s v="18 - 19 hr"/>
    <x v="6"/>
    <n v="45890"/>
    <n v="0.65258101851851846"/>
    <s v="Counselling Team - NPS"/>
    <x v="0"/>
    <x v="2"/>
    <n v="9739779525"/>
    <s v="learner042@example.com"/>
    <s v="Contract/freelance offers available but seeking permanent positions with benefits and job security. Market seems tilted toward gig work. || Resolution: Targeted BYJU'S outreach focusing on full-time opportunity pipeline"/>
    <x v="3"/>
    <x v="4"/>
    <n v="8"/>
    <x v="1"/>
    <s v="Solved"/>
    <n v="237.50805555557599"/>
    <n v="9.9"/>
    <x v="4"/>
    <s v="STATUS-COMPLETE"/>
    <x v="1"/>
  </r>
  <r>
    <x v="48"/>
    <n v="45880"/>
    <n v="0.66954861111111108"/>
    <x v="0"/>
    <x v="2"/>
    <n v="11"/>
    <n v="2"/>
    <s v="16 - 17 hr"/>
    <x v="1"/>
    <n v="45888"/>
    <n v="0.57494212962962965"/>
    <s v="Counselling Team - NPS"/>
    <x v="0"/>
    <x v="0"/>
    <n v="7862407093"/>
    <s v="learner047@example.com"/>
    <s v="Assignment deadlines clash with office project deliveries. Given 3 major assignments during typical sprint planning weeks. Need better coordination. || Resolution: Staggered assignment deadlines and provided extension options"/>
    <x v="1"/>
    <x v="11"/>
    <n v="7"/>
    <x v="1"/>
    <s v="Solved"/>
    <n v="189.72944444435416"/>
    <n v="7.91"/>
    <x v="3"/>
    <s v="STATUS-COMPLETE"/>
    <x v="1"/>
  </r>
  <r>
    <x v="49"/>
    <n v="45880"/>
    <n v="0.39170138888888889"/>
    <x v="0"/>
    <x v="2"/>
    <n v="11"/>
    <n v="2"/>
    <s v="9 - 10 hr"/>
    <x v="5"/>
    <m/>
    <m/>
    <s v="Counselling Team - NPS"/>
    <x v="0"/>
    <x v="0"/>
    <n v="9457829635"/>
    <s v="learner223@example.com"/>
    <s v="Holiday classes scheduled during Diwali week without considering festival commitments. Attendance drops to 30% affecting DevOps Aug25 momentum. || Resolution: Rescheduled holiday periods and created festival-friendly calendar"/>
    <x v="2"/>
    <x v="11"/>
    <n v="9"/>
    <x v="0"/>
    <s v="Awaiting Action - Learner"/>
    <s v="Issue_pending"/>
    <s v="Issue_pending"/>
    <x v="0"/>
    <n v="49"/>
    <x v="0"/>
  </r>
  <r>
    <x v="50"/>
    <n v="45881"/>
    <n v="0.52729166666666671"/>
    <x v="0"/>
    <x v="2"/>
    <n v="12"/>
    <n v="3"/>
    <s v="12 - 13 hr"/>
    <x v="6"/>
    <n v="45888"/>
    <n v="0.71337962962962964"/>
    <s v="Counselling Team - NPS"/>
    <x v="0"/>
    <x v="2"/>
    <n v="7859759428"/>
    <s v="learner092@example.com"/>
    <s v="Applied to 43 DevOps positions but recruiters say experience looks theoretical. Need real production environment projects to demonstrate practical skills. || Resolution: Arranged internship-style capstone project with live infrastructure"/>
    <x v="1"/>
    <x v="3"/>
    <n v="7"/>
    <x v="1"/>
    <s v="Solved"/>
    <n v="172.46611111122184"/>
    <n v="7.19"/>
    <x v="3"/>
    <s v="STATUS-COMPLETE"/>
    <x v="1"/>
  </r>
  <r>
    <x v="51"/>
    <n v="45881"/>
    <n v="0.55071759259259256"/>
    <x v="0"/>
    <x v="2"/>
    <n v="12"/>
    <n v="3"/>
    <s v="13 - 14 hr"/>
    <x v="9"/>
    <m/>
    <m/>
    <s v="Counselling Team - NPS"/>
    <x v="0"/>
    <x v="1"/>
    <n v="8709289717"/>
    <s v="learner179@example.com"/>
    <s v="Assignment instructions assume prior knowledge not covered in lectures. Database project requires PostgreSQL when only MySQL was taught in class. || Resolution: Added prerequisite tutorials and Azure setup guides"/>
    <x v="2"/>
    <x v="6"/>
    <n v="2"/>
    <x v="0"/>
    <s v="Awaiting Action - Scaler"/>
    <s v="Issue_pending"/>
    <s v="Issue_pending"/>
    <x v="0"/>
    <n v="48"/>
    <x v="0"/>
  </r>
  <r>
    <x v="52"/>
    <n v="45881"/>
    <n v="0.46003472222222225"/>
    <x v="0"/>
    <x v="2"/>
    <n v="12"/>
    <n v="3"/>
    <s v="11 - 12 hr"/>
    <x v="10"/>
    <m/>
    <m/>
    <s v="Counselling Team - NPS"/>
    <x v="0"/>
    <x v="2"/>
    <n v="9934001543"/>
    <s v="learner215@example.com"/>
    <s v="Placement team requires 2+ years experience but won't help freshers. Catch-22 situation where experience needed for placement but placement needed for experience. || Resolution: Launched fresh graduate placement track with entry-level focused companies"/>
    <x v="3"/>
    <x v="7"/>
    <n v="5"/>
    <x v="0"/>
    <s v="Awaiting Action - Scaler"/>
    <s v="Issue_pending"/>
    <s v="Issue_pending"/>
    <x v="0"/>
    <n v="48"/>
    <x v="0"/>
  </r>
  <r>
    <x v="53"/>
    <n v="45882"/>
    <n v="0.7837615740740741"/>
    <x v="0"/>
    <x v="2"/>
    <n v="13"/>
    <n v="4"/>
    <s v="18 - 19 hr"/>
    <x v="6"/>
    <n v="45885"/>
    <n v="0.42487268518518517"/>
    <s v="Counselling Team - NPS"/>
    <x v="0"/>
    <x v="1"/>
    <n v="9925445989"/>
    <s v="learner069@example.com"/>
    <s v="Weekend DevOps Jul25 timing (10 AM - 2 PM) conflicts with family time. Children's activities and household responsibilities suffer due to class schedule. || Resolution: Created flexible weekend options with shorter session formats"/>
    <x v="0"/>
    <x v="1"/>
    <n v="8"/>
    <x v="1"/>
    <s v="Solved"/>
    <n v="63.386666666774545"/>
    <n v="2.64"/>
    <x v="1"/>
    <s v="STATUS-COMPLETE"/>
    <x v="1"/>
  </r>
  <r>
    <x v="54"/>
    <n v="45882"/>
    <n v="0.85343749999999996"/>
    <x v="0"/>
    <x v="2"/>
    <n v="13"/>
    <n v="4"/>
    <s v="20 - 21 hr"/>
    <x v="4"/>
    <n v="45883"/>
    <n v="0.59521990740740738"/>
    <s v="Counselling Team - NPS"/>
    <x v="0"/>
    <x v="0"/>
    <n v="8456151216"/>
    <s v="learner087@example.com"/>
    <s v="Real-time project deployment challenges not addressed in curriculum. Local development works but AWS deployment fails with configuration issues. || Resolution: Created deployment workshop series with hands-on troubleshooting"/>
    <x v="1"/>
    <x v="6"/>
    <n v="8"/>
    <x v="1"/>
    <s v="Solved"/>
    <n v="17.802777777775191"/>
    <n v="0.74"/>
    <x v="1"/>
    <s v="STATUS-COMPLETE"/>
    <x v="1"/>
  </r>
  <r>
    <x v="55"/>
    <n v="45882"/>
    <n v="0.60805555555555557"/>
    <x v="0"/>
    <x v="2"/>
    <n v="13"/>
    <n v="4"/>
    <s v="14 - 15 hr"/>
    <x v="8"/>
    <m/>
    <m/>
    <s v="Counselling Team - NPS"/>
    <x v="0"/>
    <x v="1"/>
    <n v="9007492791"/>
    <s v="learner094@example.com"/>
    <s v="Weekend Academy Jul25 Intermediate timing (10 AM - 2 PM) conflicts with family time. Children's activities and household responsibilities suffer due to class schedule. || Resolution: Created flexible weekend options with shorter session formats"/>
    <x v="0"/>
    <x v="1"/>
    <n v="6"/>
    <x v="0"/>
    <s v="Awaiting Action - Scaler"/>
    <s v="Issue_pending"/>
    <s v="Issue_pending"/>
    <x v="0"/>
    <n v="47"/>
    <x v="0"/>
  </r>
  <r>
    <x v="56"/>
    <n v="45882"/>
    <n v="0.60302083333333334"/>
    <x v="0"/>
    <x v="2"/>
    <n v="13"/>
    <n v="4"/>
    <s v="14 - 15 hr"/>
    <x v="4"/>
    <n v="45885"/>
    <n v="0.54195601851851849"/>
    <s v="Counselling Team - NPS"/>
    <x v="0"/>
    <x v="2"/>
    <n v="9796181989"/>
    <s v="learner149@example.com"/>
    <s v="Applied to 43 DevOps positions but recruiters say experience looks theoretical. Need real production environment projects to demonstrate practical skills. || Resolution: Arranged internship-style capstone project with live infrastructure"/>
    <x v="1"/>
    <x v="3"/>
    <n v="5"/>
    <x v="1"/>
    <s v="Solved"/>
    <n v="70.534444444463588"/>
    <n v="2.94"/>
    <x v="1"/>
    <s v="STATUS-COMPLETE"/>
    <x v="1"/>
  </r>
  <r>
    <x v="57"/>
    <n v="45882"/>
    <n v="0.8426851851851852"/>
    <x v="0"/>
    <x v="2"/>
    <n v="13"/>
    <n v="4"/>
    <s v="20 - 21 hr"/>
    <x v="3"/>
    <n v="45891"/>
    <n v="0.48876157407407406"/>
    <s v="Counselling Team - NPS"/>
    <x v="0"/>
    <x v="2"/>
    <n v="9975704877"/>
    <s v="learner151@example.com"/>
    <s v="Transitioning from mechanical engineering to software development. Resume lacks relevant projects and recruiters doubt career change authenticity. || Resolution: Created transition portfolio with domain-crossover projects"/>
    <x v="2"/>
    <x v="3"/>
    <n v="5"/>
    <x v="1"/>
    <s v="Solved"/>
    <n v="207.50583333335817"/>
    <n v="8.65"/>
    <x v="4"/>
    <s v="STATUS-COMPLETE"/>
    <x v="1"/>
  </r>
  <r>
    <x v="58"/>
    <n v="45883"/>
    <n v="0.63694444444444442"/>
    <x v="0"/>
    <x v="2"/>
    <n v="14"/>
    <n v="5"/>
    <s v="15 - 16 hr"/>
    <x v="7"/>
    <n v="45887"/>
    <n v="0.58799768518518514"/>
    <s v="Counselling Team - NPS"/>
    <x v="0"/>
    <x v="3"/>
    <n v="8952996248"/>
    <s v="learner051@example.com"/>
    <s v="Project complexity too high for time allocated. Expected to build full e-commerce site in 2 weeks while learning React simultaneously. Unrealistic expectations. || Resolution: Redesigned project scope and extended timeline with milestone-based approach"/>
    <x v="1"/>
    <x v="6"/>
    <n v="7"/>
    <x v="1"/>
    <s v="Solved"/>
    <n v="94.825277777854353"/>
    <n v="3.95"/>
    <x v="1"/>
    <s v="STATUS-COMPLETE"/>
    <x v="1"/>
  </r>
  <r>
    <x v="59"/>
    <n v="45883"/>
    <n v="0.41601851851851851"/>
    <x v="0"/>
    <x v="2"/>
    <n v="14"/>
    <n v="5"/>
    <s v="9 - 10 hr"/>
    <x v="3"/>
    <m/>
    <m/>
    <s v="Counselling Team - NPS"/>
    <x v="0"/>
    <x v="1"/>
    <n v="9332299091"/>
    <s v="learner141@example.com"/>
    <s v="No downloadable notes provided for complex topics. Difficult to review mathematical formulas and algorithms without written reference material. || Resolution: Created comprehensive downloadable study guides for all modules"/>
    <x v="0"/>
    <x v="8"/>
    <n v="1"/>
    <x v="0"/>
    <s v="In Progress"/>
    <s v="Issue_pending"/>
    <s v="Issue_pending"/>
    <x v="0"/>
    <n v="46"/>
    <x v="0"/>
  </r>
  <r>
    <x v="60"/>
    <n v="45883"/>
    <n v="0.76083333333333336"/>
    <x v="0"/>
    <x v="2"/>
    <n v="14"/>
    <n v="5"/>
    <s v="18 - 19 hr"/>
    <x v="4"/>
    <n v="45895"/>
    <n v="0.66601851851851857"/>
    <s v="Counselling Team - NPS"/>
    <x v="0"/>
    <x v="2"/>
    <n v="9907843037"/>
    <s v="learner142@example.com"/>
    <s v="Placement eligibility criteria require 70%+ in graduation but scored 68% due to family financial crisis during college. Seems unfair exclusion. || Resolution: Reviewed eligibility criteria and created exception process for genuine hardship cases"/>
    <x v="1"/>
    <x v="7"/>
    <n v="1"/>
    <x v="1"/>
    <s v="Solved"/>
    <n v="285.72444444440771"/>
    <n v="11.91"/>
    <x v="4"/>
    <s v="STATUS-COMPLETE"/>
    <x v="1"/>
  </r>
  <r>
    <x v="61"/>
    <n v="45884"/>
    <n v="0.67186342592592596"/>
    <x v="0"/>
    <x v="2"/>
    <n v="15"/>
    <n v="6"/>
    <s v="16 - 17 hr"/>
    <x v="3"/>
    <n v="45889"/>
    <n v="0.46114583333333331"/>
    <s v="Counselling Team - NPS"/>
    <x v="0"/>
    <x v="3"/>
    <n v="8728760924"/>
    <s v="learner029@example.com"/>
    <s v="Sales promised 100% job guarantee within 6 months but placement team says no such commitment exists. Feel misled about course outcomes. || Resolution: Clarified placement support terms and provided additional career assistance"/>
    <x v="3"/>
    <x v="0"/>
    <n v="3"/>
    <x v="1"/>
    <s v="Solved"/>
    <n v="114.94277777778916"/>
    <n v="4.79"/>
    <x v="3"/>
    <s v="STATUS-COMPLETE"/>
    <x v="1"/>
  </r>
  <r>
    <x v="62"/>
    <n v="45884"/>
    <n v="0.71732638888888889"/>
    <x v="0"/>
    <x v="2"/>
    <n v="15"/>
    <n v="6"/>
    <s v="17 - 18 hr"/>
    <x v="8"/>
    <n v="45887"/>
    <n v="0.43935185185185183"/>
    <s v="Counselling Team - NPS"/>
    <x v="0"/>
    <x v="1"/>
    <n v="8507961865"/>
    <s v="learner068@example.com"/>
    <s v="Full Stack development track doesn't cover modern React patterns like hooks, context, or Next.js. Still teaching class components from React 16. || Resolution: Complete overhaul of React curriculum to cover React 18 features"/>
    <x v="2"/>
    <x v="13"/>
    <n v="8"/>
    <x v="1"/>
    <s v="Solved"/>
    <n v="65.328611111151986"/>
    <n v="2.72"/>
    <x v="1"/>
    <s v="STATUS-COMPLETE"/>
    <x v="1"/>
  </r>
  <r>
    <x v="63"/>
    <n v="45884"/>
    <n v="0.85998842592592595"/>
    <x v="0"/>
    <x v="2"/>
    <n v="15"/>
    <n v="6"/>
    <s v="20 - 21 hr"/>
    <x v="4"/>
    <m/>
    <m/>
    <s v="Counselling Team - NPS"/>
    <x v="0"/>
    <x v="1"/>
    <n v="9358944233"/>
    <s v="learner120@example.com"/>
    <s v="Weekend AIML Aug25 timing (10 AM - 2 PM) conflicts with family time. Children's activities and household responsibilities suffer due to class schedule. || Resolution: Created flexible weekend options with shorter session formats"/>
    <x v="3"/>
    <x v="1"/>
    <n v="7"/>
    <x v="0"/>
    <s v="Awaiting Action - Learner"/>
    <s v="Issue_pending"/>
    <s v="Issue_pending"/>
    <x v="0"/>
    <n v="45"/>
    <x v="0"/>
  </r>
  <r>
    <x v="64"/>
    <n v="45884"/>
    <n v="0.41968749999999999"/>
    <x v="0"/>
    <x v="2"/>
    <n v="15"/>
    <n v="6"/>
    <s v="10 - 11 hr"/>
    <x v="5"/>
    <n v="45886"/>
    <n v="0.38751157407407405"/>
    <s v="Counselling Team - NPS"/>
    <x v="0"/>
    <x v="1"/>
    <n v="8612579345"/>
    <s v="learner208@example.com"/>
    <s v="Lecture slides contain only bullet points without detailed explanations. Need comprehensive notes for exam preparation and interview revision. || Resolution: Enhanced slides with detailed explanations and examples"/>
    <x v="1"/>
    <x v="8"/>
    <n v="7"/>
    <x v="1"/>
    <s v="Solved"/>
    <n v="47.227777777821757"/>
    <n v="1.97"/>
    <x v="1"/>
    <s v="STATUS-COMPLETE"/>
    <x v="1"/>
  </r>
  <r>
    <x v="65"/>
    <n v="45885"/>
    <n v="0.5907175925925926"/>
    <x v="0"/>
    <x v="2"/>
    <n v="16"/>
    <n v="7"/>
    <s v="14 - 15 hr"/>
    <x v="0"/>
    <n v="45896"/>
    <n v="0.44181712962962966"/>
    <s v="Counselling Team - NPS"/>
    <x v="0"/>
    <x v="1"/>
    <n v="7491914923"/>
    <s v="learner015@example.com"/>
    <s v="Instructor David Wilson Rajesh Kumar in AIML Jul25 AIML Jul25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
    <x v="0"/>
    <x v="10"/>
    <n v="1"/>
    <x v="1"/>
    <s v="Solved"/>
    <n v="260.42638888891088"/>
    <n v="10.85"/>
    <x v="4"/>
    <s v="STATUS-COMPLETE"/>
    <x v="1"/>
  </r>
  <r>
    <x v="66"/>
    <n v="45885"/>
    <n v="0.3971527777777778"/>
    <x v="0"/>
    <x v="2"/>
    <n v="16"/>
    <n v="7"/>
    <s v="9 - 10 hr"/>
    <x v="8"/>
    <m/>
    <m/>
    <s v="Counselling Team - NPS"/>
    <x v="0"/>
    <x v="2"/>
    <n v="7780996231"/>
    <s v="learner019@example.com"/>
    <s v="Planning to relocate from Bangalore to Pune for family reasons. Unclear about job market, salary differences, and Google options in Pune tech scene. || Resolution: Connected with local Pune-based mentors and provided market insights"/>
    <x v="0"/>
    <x v="2"/>
    <n v="10"/>
    <x v="0"/>
    <s v="In Progress"/>
    <s v="Issue_pending"/>
    <s v="Issue_pending"/>
    <x v="0"/>
    <n v="44"/>
    <x v="0"/>
  </r>
  <r>
    <x v="67"/>
    <n v="45885"/>
    <n v="0.46726851851851853"/>
    <x v="0"/>
    <x v="2"/>
    <n v="16"/>
    <n v="7"/>
    <s v="11 - 12 hr"/>
    <x v="4"/>
    <n v="45887"/>
    <n v="0.46319444444444446"/>
    <s v="Counselling Team - NPS"/>
    <x v="0"/>
    <x v="1"/>
    <n v="8598757527"/>
    <s v="learner194@example.com"/>
    <s v="Lecture slides contain only bullet points without detailed explanations. Need comprehensive notes for exam preparation and interview revision. || Resolution: Enhanced slides with detailed explanations and examples"/>
    <x v="2"/>
    <x v="8"/>
    <n v="7"/>
    <x v="1"/>
    <s v="Solved"/>
    <n v="47.902222222066484"/>
    <n v="2"/>
    <x v="1"/>
    <s v="STATUS-COMPLETE"/>
    <x v="1"/>
  </r>
  <r>
    <x v="68"/>
    <n v="45886"/>
    <n v="0.39043981481481482"/>
    <x v="0"/>
    <x v="3"/>
    <n v="17"/>
    <n v="1"/>
    <s v="9 - 10 hr"/>
    <x v="10"/>
    <m/>
    <m/>
    <s v="Counselling Team - NPS"/>
    <x v="0"/>
    <x v="2"/>
    <n v="9799264931"/>
    <s v="learner014@example.com"/>
    <s v="Interested in international opportunities but confused about visa processes, skill requirements, and cultural preparation for US/Canada markets. || Resolution: Connected with professionals who successfully relocated internationally"/>
    <x v="2"/>
    <x v="2"/>
    <n v="7"/>
    <x v="0"/>
    <s v="Awaiting Action - Learner"/>
    <s v="Issue_pending"/>
    <s v="Issue_pending"/>
    <x v="0"/>
    <n v="43"/>
    <x v="0"/>
  </r>
  <r>
    <x v="69"/>
    <n v="45886"/>
    <n v="0.3908564814814815"/>
    <x v="0"/>
    <x v="3"/>
    <n v="17"/>
    <n v="1"/>
    <s v="9 - 10 hr"/>
    <x v="1"/>
    <m/>
    <m/>
    <s v="Counselling Team - NPS"/>
    <x v="0"/>
    <x v="1"/>
    <n v="9529104043"/>
    <s v="learner053@example.com"/>
    <s v="Mike Wilson uses outdated examples in Machine Learning classes. Still teaching scikit-learn 0.22 syntax when industry uses 1.3+. Students struggle with modern ML libraries. || Resolution: Updated all code examples to latest library versions"/>
    <x v="2"/>
    <x v="10"/>
    <n v="2"/>
    <x v="0"/>
    <s v="Awaiting Action - Scaler"/>
    <s v="Issue_pending"/>
    <s v="Issue_pending"/>
    <x v="0"/>
    <n v="43"/>
    <x v="0"/>
  </r>
  <r>
    <x v="70"/>
    <n v="45886"/>
    <n v="0.80753472222222222"/>
    <x v="0"/>
    <x v="3"/>
    <n v="17"/>
    <n v="1"/>
    <s v="19 - 20 hr"/>
    <x v="2"/>
    <n v="45891"/>
    <n v="0.75218750000000001"/>
    <s v="Counselling Team - NPS"/>
    <x v="0"/>
    <x v="3"/>
    <n v="8778059107"/>
    <s v="learner213@example.com"/>
    <s v="TA Rohit takes 2-3 days to respond to doubt resolution requests. Critical errors in assignments go unresolved, affecting submission deadlines. || Resolution: Implemented 24-hour response SLA for TAs and hired additional support staff"/>
    <x v="2"/>
    <x v="5"/>
    <n v="3"/>
    <x v="1"/>
    <s v="Solved"/>
    <n v="118.67166666663252"/>
    <n v="4.9400000000000004"/>
    <x v="3"/>
    <s v="STATUS-COMPLETE"/>
    <x v="1"/>
  </r>
  <r>
    <x v="71"/>
    <n v="45887"/>
    <n v="0.63854166666666667"/>
    <x v="0"/>
    <x v="3"/>
    <n v="18"/>
    <n v="2"/>
    <s v="15 - 16 hr"/>
    <x v="7"/>
    <n v="45895"/>
    <n v="0.46122685185185186"/>
    <s v="Counselling Team - NPS"/>
    <x v="0"/>
    <x v="2"/>
    <n v="8551019709"/>
    <s v="learner148@example.com"/>
    <s v="Placement team requires 2+ years experience but won't help freshers. Catch-22 situation where experience needed for placement but placement needed for experience. || Resolution: Launched fresh graduate placement track with entry-level focused companies"/>
    <x v="0"/>
    <x v="7"/>
    <n v="4"/>
    <x v="1"/>
    <s v="Solved"/>
    <n v="187.74444444448454"/>
    <n v="7.82"/>
    <x v="3"/>
    <s v="STATUS-COMPLETE"/>
    <x v="1"/>
  </r>
  <r>
    <x v="72"/>
    <n v="45887"/>
    <n v="0.7388541666666667"/>
    <x v="0"/>
    <x v="3"/>
    <n v="18"/>
    <n v="2"/>
    <s v="17 - 18 hr"/>
    <x v="9"/>
    <m/>
    <m/>
    <s v="Counselling Team - NPS"/>
    <x v="0"/>
    <x v="2"/>
    <n v="7770278136"/>
    <s v="learner186@example.com"/>
    <s v="Planning to relocate from Bangalore to Pune for family reasons. Unclear about job market, salary differences, and Ola options in Pune tech scene. || Resolution: Connected with local Pune-based mentors and provided market insights"/>
    <x v="1"/>
    <x v="2"/>
    <n v="7"/>
    <x v="0"/>
    <s v="In Progress"/>
    <s v="Issue_pending"/>
    <s v="Issue_pending"/>
    <x v="0"/>
    <n v="42"/>
    <x v="0"/>
  </r>
  <r>
    <x v="73"/>
    <n v="45887"/>
    <n v="0.46614583333333331"/>
    <x v="0"/>
    <x v="3"/>
    <n v="18"/>
    <n v="2"/>
    <s v="11 - 12 hr"/>
    <x v="0"/>
    <n v="45899"/>
    <n v="0.40849537037037037"/>
    <s v="Counselling Team - NPS"/>
    <x v="0"/>
    <x v="0"/>
    <n v="8365818354"/>
    <s v="learner200@example.com"/>
    <s v="Weekend AIML sessions run 5 hours straight (10 AM - 3 PM) without proper breaks. Exhausting for working parents with family commitments on weekends. || Resolution: Restructured to 3-hour sessions with 30-minute breaks every 90 minutes"/>
    <x v="0"/>
    <x v="11"/>
    <n v="3"/>
    <x v="1"/>
    <s v="Solved"/>
    <n v="286.616388888855"/>
    <n v="11.94"/>
    <x v="4"/>
    <s v="STATUS-COMPLETE"/>
    <x v="1"/>
  </r>
  <r>
    <x v="74"/>
    <n v="45887"/>
    <n v="0.51633101851851848"/>
    <x v="0"/>
    <x v="3"/>
    <n v="18"/>
    <n v="2"/>
    <s v="12 - 13 hr"/>
    <x v="0"/>
    <n v="45895"/>
    <n v="0.72615740740740742"/>
    <s v="Counselling Team - NPS"/>
    <x v="0"/>
    <x v="3"/>
    <n v="8915999663"/>
    <s v="learner222@example.com"/>
    <s v="TA Rohit takes 2-3 days to respond to doubt resolution requests. Critical errors in assignments go unresolved, affecting submission deadlines. || Resolution: Implemented 24-hour response SLA for TAs and hired additional support staff"/>
    <x v="2"/>
    <x v="5"/>
    <n v="7"/>
    <x v="1"/>
    <s v="Solved"/>
    <n v="197.03583333338611"/>
    <n v="8.2100000000000009"/>
    <x v="4"/>
    <s v="STATUS-COMPLETE"/>
    <x v="1"/>
  </r>
  <r>
    <x v="75"/>
    <n v="45888"/>
    <n v="0.8033217592592593"/>
    <x v="0"/>
    <x v="3"/>
    <n v="19"/>
    <n v="3"/>
    <s v="19 - 20 hr"/>
    <x v="6"/>
    <m/>
    <m/>
    <s v="Counselling Team - NPS"/>
    <x v="0"/>
    <x v="1"/>
    <n v="7919066362"/>
    <s v="learner112@example.com"/>
    <s v="Lecture slides contain only bullet points without detailed explanations. Need comprehensive notes for exam preparation and interview revision. || Resolution: Enhanced slides with detailed explanations and examples"/>
    <x v="1"/>
    <x v="8"/>
    <n v="2"/>
    <x v="0"/>
    <s v="Awaiting Action - Scaler"/>
    <s v="Issue_pending"/>
    <s v="Issue_pending"/>
    <x v="0"/>
    <n v="41"/>
    <x v="0"/>
  </r>
  <r>
    <x v="76"/>
    <n v="45888"/>
    <n v="0.54819444444444443"/>
    <x v="0"/>
    <x v="3"/>
    <n v="19"/>
    <n v="3"/>
    <s v="13 - 14 hr"/>
    <x v="5"/>
    <m/>
    <m/>
    <s v="Counselling Team - NPS"/>
    <x v="0"/>
    <x v="1"/>
    <n v="8673413661"/>
    <s v="learner145@example.com"/>
    <s v="Audio-video sync issues during recorded playback. Instructor Sarah Johnson's voice doesn't match lip movement by 2-3 seconds. Distracting during learning. || Resolution: Fixed encoding pipeline and re-processed affected recordings"/>
    <x v="2"/>
    <x v="12"/>
    <n v="3"/>
    <x v="0"/>
    <s v="In Progress"/>
    <s v="Issue_pending"/>
    <s v="Issue_pending"/>
    <x v="0"/>
    <n v="41"/>
    <x v="0"/>
  </r>
  <r>
    <x v="77"/>
    <n v="45888"/>
    <n v="0.67236111111111108"/>
    <x v="0"/>
    <x v="3"/>
    <n v="19"/>
    <n v="3"/>
    <s v="16 - 17 hr"/>
    <x v="4"/>
    <n v="45894"/>
    <n v="0.69378472222222221"/>
    <s v="Counselling Team - NPS"/>
    <x v="0"/>
    <x v="1"/>
    <n v="9411976659"/>
    <s v="learner162@example.com"/>
    <s v="Screen sharing resolution too low during coding sessions. Can't read code examples on mobile device. Zoom compression makes text blurry. || Resolution: Upgraded streaming quality to 1080p and optimized for mobile viewing"/>
    <x v="1"/>
    <x v="12"/>
    <n v="3"/>
    <x v="1"/>
    <s v="Solved"/>
    <n v="144.51416666671867"/>
    <n v="6.02"/>
    <x v="3"/>
    <s v="STATUS-COMPLETE"/>
    <x v="1"/>
  </r>
  <r>
    <x v="78"/>
    <n v="45888"/>
    <n v="0.66693287037037041"/>
    <x v="0"/>
    <x v="3"/>
    <n v="19"/>
    <n v="3"/>
    <s v="16 - 17 hr"/>
    <x v="1"/>
    <m/>
    <m/>
    <s v="Counselling Team - NPS"/>
    <x v="0"/>
    <x v="1"/>
    <n v="8252391379"/>
    <s v="learner187@example.com"/>
    <s v="Assigned mentor Priya Sharma unresponsive to career queries for 3+ weeks. Sent 7 messages about transitioning from manual testing to automation but zero replies. || Resolution: Reassigned to senior automation mentor and implemented response time SLA"/>
    <x v="1"/>
    <x v="9"/>
    <n v="4"/>
    <x v="0"/>
    <s v="Awaiting Action - Learner"/>
    <s v="Issue_pending"/>
    <s v="Issue_pending"/>
    <x v="0"/>
    <n v="41"/>
    <x v="0"/>
  </r>
  <r>
    <x v="79"/>
    <n v="45889"/>
    <n v="0.45413194444444444"/>
    <x v="0"/>
    <x v="3"/>
    <n v="20"/>
    <n v="4"/>
    <s v="10 - 11 hr"/>
    <x v="6"/>
    <n v="45893"/>
    <n v="0.65335648148148151"/>
    <s v="Counselling Team - NPS"/>
    <x v="0"/>
    <x v="1"/>
    <n v="9562974666"/>
    <s v="learner082@example.com"/>
    <s v="Evening AIML Aug25 starts at 7 PM when dinner time with family. Work-life balance getting affected due to late learning schedule. || Resolution: Introduced early evening slots (6-8 PM) based on demand"/>
    <x v="0"/>
    <x v="1"/>
    <n v="8"/>
    <x v="1"/>
    <s v="Solved"/>
    <n v="100.78138888883404"/>
    <n v="4.2"/>
    <x v="3"/>
    <s v="STATUS-COMPLETE"/>
    <x v="1"/>
  </r>
  <r>
    <x v="80"/>
    <n v="45889"/>
    <n v="0.61185185185185187"/>
    <x v="0"/>
    <x v="3"/>
    <n v="20"/>
    <n v="4"/>
    <s v="14 - 15 hr"/>
    <x v="6"/>
    <n v="45901"/>
    <n v="0.68988425925925922"/>
    <s v="Counselling Team - NPS"/>
    <x v="0"/>
    <x v="1"/>
    <n v="9000738353"/>
    <s v="learner095@example.com"/>
    <s v="Sales promised 100% job guarantee within 6 months but placement team says no such commitment exists. Feel misled about course outcomes. || Resolution: Clarified placement support terms and provided additional career assistance"/>
    <x v="0"/>
    <x v="0"/>
    <n v="2"/>
    <x v="1"/>
    <s v="Solved"/>
    <n v="289.87277777778218"/>
    <n v="12.08"/>
    <x v="4"/>
    <s v="STATUS-COMPLETE"/>
    <x v="1"/>
  </r>
  <r>
    <x v="81"/>
    <n v="45889"/>
    <n v="0.69137731481481479"/>
    <x v="0"/>
    <x v="3"/>
    <n v="20"/>
    <n v="4"/>
    <s v="16 - 17 hr"/>
    <x v="2"/>
    <n v="45894"/>
    <n v="0.42228009259259258"/>
    <s v="Counselling Team - NPS"/>
    <x v="0"/>
    <x v="2"/>
    <n v="8752536389"/>
    <s v="learner146@example.com"/>
    <s v="Want to pursue management track vs staying technical. Currently team lead but unsure about MBA requirements and career progression options. || Resolution: Arranged sessions with both technical architects and engineering managers"/>
    <x v="3"/>
    <x v="2"/>
    <n v="4"/>
    <x v="1"/>
    <s v="Solved"/>
    <n v="113.54166666674428"/>
    <n v="4.7300000000000004"/>
    <x v="3"/>
    <s v="STATUS-COMPLETE"/>
    <x v="1"/>
  </r>
  <r>
    <x v="82"/>
    <n v="45889"/>
    <n v="0.69340277777777781"/>
    <x v="0"/>
    <x v="3"/>
    <n v="20"/>
    <n v="4"/>
    <s v="16 - 17 hr"/>
    <x v="0"/>
    <n v="45900"/>
    <n v="0.48989583333333331"/>
    <s v="Counselling Team - NPS"/>
    <x v="0"/>
    <x v="1"/>
    <n v="8721444792"/>
    <s v="learner152@example.com"/>
    <s v="Full Stack development track doesn't cover modern React patterns like hooks, context, or Next.js. Still teaching class components from React 16. || Resolution: Complete overhaul of React curriculum to cover React 18 features"/>
    <x v="0"/>
    <x v="13"/>
    <n v="7"/>
    <x v="1"/>
    <s v="Solved"/>
    <n v="259.11583333346061"/>
    <n v="10.8"/>
    <x v="4"/>
    <s v="STATUS-COMPLETE"/>
    <x v="1"/>
  </r>
  <r>
    <x v="83"/>
    <n v="45889"/>
    <n v="0.52087962962962964"/>
    <x v="0"/>
    <x v="3"/>
    <n v="20"/>
    <n v="4"/>
    <s v="12 - 13 hr"/>
    <x v="5"/>
    <n v="45893"/>
    <n v="0.65353009259259254"/>
    <s v="Counselling Team - NPS"/>
    <x v="0"/>
    <x v="2"/>
    <n v="9549834042"/>
    <s v="learner173@example.com"/>
    <s v="Interested in startup environment but concerned about job security with family responsibilities. Need advice on evaluating startup opportunities vs established companies. || Resolution: Conducted detailed career counseling session on risk assessment and planning"/>
    <x v="2"/>
    <x v="2"/>
    <n v="7"/>
    <x v="1"/>
    <s v="Solved"/>
    <n v="99.183611111075152"/>
    <n v="4.13"/>
    <x v="3"/>
    <s v="STATUS-COMPLETE"/>
    <x v="1"/>
  </r>
  <r>
    <x v="84"/>
    <n v="45890"/>
    <n v="0.82219907407407411"/>
    <x v="0"/>
    <x v="3"/>
    <n v="21"/>
    <n v="5"/>
    <s v="19 - 20 hr"/>
    <x v="3"/>
    <n v="45898"/>
    <n v="0.7101736111111111"/>
    <s v="Counselling Team - NPS"/>
    <x v="0"/>
    <x v="1"/>
    <n v="7977046129"/>
    <s v="learner040@example.com"/>
    <s v="Evening DSML Jul25 starts at 7 PM when dinner time with family. Work-life balance getting affected due to late learning schedule. || Resolution: Introduced early evening slots (6-8 PM) based on demand"/>
    <x v="2"/>
    <x v="1"/>
    <n v="3"/>
    <x v="1"/>
    <s v="Solved"/>
    <n v="189.31138888903661"/>
    <n v="7.89"/>
    <x v="3"/>
    <s v="STATUS-COMPLETE"/>
    <x v="1"/>
  </r>
  <r>
    <x v="85"/>
    <n v="45890"/>
    <n v="0.55896990740740737"/>
    <x v="0"/>
    <x v="3"/>
    <n v="21"/>
    <n v="5"/>
    <s v="13 - 14 hr"/>
    <x v="0"/>
    <n v="45892"/>
    <n v="0.56128472222222225"/>
    <s v="Counselling Team - NPS"/>
    <x v="0"/>
    <x v="1"/>
    <n v="8795875043"/>
    <s v="learner101@example.com"/>
    <s v="Told course would take 6 months but curriculum actually requires 10+ months for completion. Time commitment significantly underestimated. || Resolution: Updated course duration estimates and provided realistic timeline planning"/>
    <x v="3"/>
    <x v="0"/>
    <n v="5"/>
    <x v="1"/>
    <s v="Solved"/>
    <n v="48.055555555620231"/>
    <n v="2"/>
    <x v="1"/>
    <s v="STATUS-COMPLETE"/>
    <x v="1"/>
  </r>
  <r>
    <x v="86"/>
    <n v="45890"/>
    <n v="0.37876157407407407"/>
    <x v="0"/>
    <x v="3"/>
    <n v="21"/>
    <n v="5"/>
    <s v="9 - 10 hr"/>
    <x v="2"/>
    <n v="45893"/>
    <n v="0.68922453703703701"/>
    <s v="Counselling Team - NPS"/>
    <x v="0"/>
    <x v="3"/>
    <n v="8963790638"/>
    <s v="learner102@example.com"/>
    <s v="Weekly mentor sessions rushed and superficial. Last call was 8 minutes discussing 6-month career roadmap. Need dedicated time for meaningful guidance. || Resolution: Increased minimum session duration to 30 minutes with structured agenda"/>
    <x v="0"/>
    <x v="9"/>
    <n v="2"/>
    <x v="1"/>
    <s v="Solved"/>
    <n v="79.451111111207865"/>
    <n v="3.31"/>
    <x v="1"/>
    <s v="STATUS-COMPLETE"/>
    <x v="1"/>
  </r>
  <r>
    <x v="87"/>
    <n v="45890"/>
    <n v="0.7484143518518519"/>
    <x v="0"/>
    <x v="3"/>
    <n v="21"/>
    <n v="5"/>
    <s v="17 - 18 hr"/>
    <x v="10"/>
    <m/>
    <m/>
    <s v="Counselling Team - NPS"/>
    <x v="0"/>
    <x v="2"/>
    <n v="7582349911"/>
    <s v="learner167@example.com"/>
    <s v="Considering freelancing transition after 8 years in corporate. Need guidance on building client base, pricing projects, and managing business aspects. || Resolution: Introduced to successful freelancer mentor and provided business setup guidance"/>
    <x v="1"/>
    <x v="2"/>
    <n v="3"/>
    <x v="0"/>
    <s v="Awaiting Action - Learner"/>
    <s v="Issue_pending"/>
    <s v="Issue_pending"/>
    <x v="0"/>
    <n v="39"/>
    <x v="0"/>
  </r>
  <r>
    <x v="88"/>
    <n v="45890"/>
    <n v="0.67863425925925924"/>
    <x v="0"/>
    <x v="3"/>
    <n v="21"/>
    <n v="5"/>
    <s v="16 - 17 hr"/>
    <x v="7"/>
    <m/>
    <m/>
    <s v="Counselling Team - NPS"/>
    <x v="0"/>
    <x v="1"/>
    <n v="7870644102"/>
    <s v="learner191@example.com"/>
    <s v="Screen sharing resolution too low during coding sessions. Can't read code examples on mobile device. Zoom compression makes text blurry. || Resolution: Upgraded streaming quality to 1080p and optimized for mobile viewing"/>
    <x v="1"/>
    <x v="12"/>
    <n v="6"/>
    <x v="0"/>
    <s v="Awaiting Action - Learner"/>
    <s v="Issue_pending"/>
    <s v="Issue_pending"/>
    <x v="0"/>
    <n v="39"/>
    <x v="0"/>
  </r>
  <r>
    <x v="89"/>
    <n v="45890"/>
    <n v="0.64953703703703702"/>
    <x v="0"/>
    <x v="3"/>
    <n v="21"/>
    <n v="5"/>
    <s v="15 - 16 hr"/>
    <x v="3"/>
    <m/>
    <m/>
    <s v="Counselling Team - NPS"/>
    <x v="0"/>
    <x v="0"/>
    <n v="9232043732"/>
    <s v="learner216@example.com"/>
    <s v="Python assignment auto-grading system has bugs. Correct solutions marked wrong due to output formatting differences. Frustrating when code logic is perfect. || Resolution: Fixed grading system and manually reviewed affected submissions"/>
    <x v="2"/>
    <x v="6"/>
    <n v="4"/>
    <x v="0"/>
    <s v="Awaiting Action - Scaler"/>
    <s v="Issue_pending"/>
    <s v="Issue_pending"/>
    <x v="0"/>
    <n v="39"/>
    <x v="0"/>
  </r>
  <r>
    <x v="90"/>
    <n v="45891"/>
    <n v="0.53224537037037034"/>
    <x v="0"/>
    <x v="3"/>
    <n v="22"/>
    <n v="6"/>
    <s v="12 - 13 hr"/>
    <x v="6"/>
    <n v="45901"/>
    <n v="0.56597222222222221"/>
    <s v="Counselling Team - NPS"/>
    <x v="0"/>
    <x v="3"/>
    <n v="9384463652"/>
    <s v="learner020@example.com"/>
    <s v="Multiple TAs provide conflicting solutions for same problem. Creates confusion about best practices and correct approach for implementation. || Resolution: Implemented TA training program and standardized solution guidelines"/>
    <x v="3"/>
    <x v="5"/>
    <n v="5"/>
    <x v="1"/>
    <s v="Solved"/>
    <n v="240.80944444437046"/>
    <n v="10.029999999999999"/>
    <x v="4"/>
    <s v="STATUS-COMPLETE"/>
    <x v="1"/>
  </r>
  <r>
    <x v="91"/>
    <n v="45891"/>
    <n v="0.84189814814814812"/>
    <x v="0"/>
    <x v="3"/>
    <n v="22"/>
    <n v="6"/>
    <s v="20 - 21 hr"/>
    <x v="7"/>
    <n v="45899"/>
    <n v="0.55504629629629632"/>
    <s v="Counselling Team - NPS"/>
    <x v="0"/>
    <x v="2"/>
    <n v="9301518177"/>
    <s v="learner022@example.com"/>
    <s v="Multiple interview rounds cleared but final selection goes to internal referrals. External candidates seem disadvantaged despite equal performance. || Resolution: Expanded alumni network for referral opportunities and insider advocacy"/>
    <x v="3"/>
    <x v="4"/>
    <n v="10"/>
    <x v="1"/>
    <s v="Solved"/>
    <n v="185.11555555555969"/>
    <n v="7.71"/>
    <x v="3"/>
    <s v="STATUS-COMPLETE"/>
    <x v="1"/>
  </r>
  <r>
    <x v="92"/>
    <n v="45891"/>
    <n v="0.67861111111111116"/>
    <x v="0"/>
    <x v="3"/>
    <n v="22"/>
    <n v="6"/>
    <s v="16 - 17 hr"/>
    <x v="7"/>
    <n v="45902"/>
    <n v="0.73160879629629627"/>
    <s v="Counselling Team - NPS"/>
    <x v="0"/>
    <x v="1"/>
    <n v="8420277403"/>
    <s v="learner116@example.com"/>
    <s v="Evening Academy Jul25 Intermediate starts at 7 PM when dinner time with family. Work-life balance getting affected due to late learning schedule. || Resolution: Introduced early evening slots (6-8 PM) based on demand"/>
    <x v="3"/>
    <x v="1"/>
    <n v="9"/>
    <x v="1"/>
    <s v="Solved"/>
    <n v="265.27194444439374"/>
    <n v="11.05"/>
    <x v="4"/>
    <s v="STATUS-COMPLETE"/>
    <x v="1"/>
  </r>
  <r>
    <x v="93"/>
    <n v="45891"/>
    <n v="0.69912037037037034"/>
    <x v="0"/>
    <x v="3"/>
    <n v="22"/>
    <n v="6"/>
    <s v="16 - 17 hr"/>
    <x v="6"/>
    <n v="45895"/>
    <n v="0.72942129629629626"/>
    <s v="Counselling Team - NPS"/>
    <x v="0"/>
    <x v="1"/>
    <n v="8369705770"/>
    <s v="learner156@example.com"/>
    <s v="Academy Python track missing async programming, type hints, and dataclasses. These are mandatory for senior roles at Google, Microsoft, Meta. Current content feels like 2020 curriculum. || Resolution: Added advanced Python module covering modern language features"/>
    <x v="0"/>
    <x v="13"/>
    <n v="8"/>
    <x v="1"/>
    <s v="Solved"/>
    <n v="96.727222222136334"/>
    <n v="4.03"/>
    <x v="3"/>
    <s v="STATUS-COMPLETE"/>
    <x v="1"/>
  </r>
  <r>
    <x v="94"/>
    <n v="45891"/>
    <n v="0.51672453703703702"/>
    <x v="0"/>
    <x v="3"/>
    <n v="22"/>
    <n v="6"/>
    <s v="12 - 13 hr"/>
    <x v="7"/>
    <m/>
    <m/>
    <s v="Counselling Team - NPS"/>
    <x v="0"/>
    <x v="0"/>
    <n v="7443247229"/>
    <s v="learner174@example.com"/>
    <s v="Mock interview sessions lack depth. Mentor asks basic questions without simulating real interview pressure or providing improvement feedback. || Resolution: Upgraded to senior mentor with interviewing experience at target companies"/>
    <x v="3"/>
    <x v="9"/>
    <n v="5"/>
    <x v="0"/>
    <s v="Awaiting Action - Learner"/>
    <s v="Issue_pending"/>
    <s v="Issue_pending"/>
    <x v="0"/>
    <n v="38"/>
    <x v="0"/>
  </r>
  <r>
    <x v="95"/>
    <n v="45892"/>
    <n v="0.76113425925925926"/>
    <x v="0"/>
    <x v="3"/>
    <n v="23"/>
    <n v="7"/>
    <s v="18 - 19 hr"/>
    <x v="7"/>
    <n v="45899"/>
    <n v="0.72292824074074069"/>
    <s v="Counselling Team - NPS"/>
    <x v="0"/>
    <x v="3"/>
    <n v="9562254028"/>
    <s v="learner001@example.com"/>
    <s v="No code review feedback provided for assignments. Submitting working solutions but don't know if following best practices or industry standards. || Resolution: Introduced mandatory code review sessions with senior developers"/>
    <x v="2"/>
    <x v="6"/>
    <n v="6"/>
    <x v="1"/>
    <s v="Solved"/>
    <n v="167.08305555564584"/>
    <n v="6.96"/>
    <x v="3"/>
    <s v="STATUS-COMPLETE"/>
    <x v="1"/>
  </r>
  <r>
    <x v="96"/>
    <n v="45892"/>
    <n v="0.66146990740740741"/>
    <x v="0"/>
    <x v="3"/>
    <n v="23"/>
    <n v="7"/>
    <s v="15 - 16 hr"/>
    <x v="7"/>
    <n v="45903"/>
    <n v="0.58648148148148149"/>
    <s v="Counselling Team - NPS"/>
    <x v="0"/>
    <x v="1"/>
    <n v="7437662764"/>
    <s v="learner017@example.com"/>
    <s v="Evening Academy Jul25 Beginner starts at 7 PM when dinner time with family. Work-life balance getting affected due to late learning schedule. || Resolution: Introduced early evening slots (6-8 PM) based on demand"/>
    <x v="1"/>
    <x v="1"/>
    <n v="5"/>
    <x v="1"/>
    <s v="Solved"/>
    <n v="262.20027777791256"/>
    <n v="10.93"/>
    <x v="4"/>
    <s v="STATUS-COMPLETE"/>
    <x v="1"/>
  </r>
  <r>
    <x v="97"/>
    <n v="45892"/>
    <n v="0.39067129629629632"/>
    <x v="0"/>
    <x v="3"/>
    <n v="23"/>
    <n v="7"/>
    <s v="9 - 10 hr"/>
    <x v="8"/>
    <n v="45903"/>
    <n v="0.45112268518518517"/>
    <s v="Counselling Team - NPS"/>
    <x v="0"/>
    <x v="2"/>
    <n v="9760786161"/>
    <s v="learner085@example.com"/>
    <s v="Applied to 67 Data Science positions in 3 months but only 4 interview calls. Resume seems to fail ATS screening despite following Scaler format guidelines. || Resolution: Connected with placement team for ATS optimization and keyword analysis"/>
    <x v="1"/>
    <x v="3"/>
    <n v="6"/>
    <x v="1"/>
    <s v="Solved"/>
    <n v="265.45083333319053"/>
    <n v="11.06"/>
    <x v="4"/>
    <s v="STATUS-COMPLETE"/>
    <x v="1"/>
  </r>
  <r>
    <x v="98"/>
    <n v="45892"/>
    <n v="0.50907407407407412"/>
    <x v="0"/>
    <x v="3"/>
    <n v="23"/>
    <n v="7"/>
    <s v="12 - 13 hr"/>
    <x v="7"/>
    <n v="45896"/>
    <n v="0.41864583333333333"/>
    <s v="Counselling Team - NPS"/>
    <x v="0"/>
    <x v="2"/>
    <n v="9550970716"/>
    <s v="learner126@example.com"/>
    <s v="Contract/freelance offers available but seeking permanent positions with benefits and job security. Market seems tilted toward gig work. || Resolution: Targeted Microsoft outreach focusing on full-time opportunity pipeline"/>
    <x v="0"/>
    <x v="4"/>
    <n v="1"/>
    <x v="1"/>
    <s v="Solved"/>
    <n v="93.829722222348209"/>
    <n v="3.91"/>
    <x v="1"/>
    <s v="STATUS-COMPLETE"/>
    <x v="1"/>
  </r>
  <r>
    <x v="99"/>
    <n v="45892"/>
    <n v="0.57212962962962965"/>
    <x v="0"/>
    <x v="3"/>
    <n v="23"/>
    <n v="7"/>
    <s v="13 - 14 hr"/>
    <x v="7"/>
    <n v="45899"/>
    <n v="0.43292824074074077"/>
    <s v="Counselling Team - NPS"/>
    <x v="0"/>
    <x v="2"/>
    <n v="9807773530"/>
    <s v="learner139@example.com"/>
    <s v="Mentor doesn't understand non-tech background. As commerce graduate transitioning to data science, need someone who understands career pivot challenges. || Resolution: Assigned mentor with similar career transition background"/>
    <x v="0"/>
    <x v="9"/>
    <n v="7"/>
    <x v="1"/>
    <s v="Solved"/>
    <n v="164.65916666662088"/>
    <n v="6.86"/>
    <x v="3"/>
    <s v="STATUS-COMPLETE"/>
    <x v="1"/>
  </r>
  <r>
    <x v="100"/>
    <n v="45892"/>
    <n v="0.39770833333333333"/>
    <x v="0"/>
    <x v="3"/>
    <n v="23"/>
    <n v="7"/>
    <s v="9 - 10 hr"/>
    <x v="8"/>
    <n v="45896"/>
    <n v="0.68035879629629625"/>
    <s v="Counselling Team - NPS"/>
    <x v="0"/>
    <x v="2"/>
    <n v="9411439945"/>
    <s v="learner225@example.com"/>
    <s v="Resume format doesn't work for startup applications. Too formal for young companies, but changing format affects ATS performance at large corporations. || Resolution: Created dual resume strategy for different Flipkart types"/>
    <x v="0"/>
    <x v="3"/>
    <n v="5"/>
    <x v="1"/>
    <s v="Solved"/>
    <n v="102.78361111111008"/>
    <n v="4.28"/>
    <x v="3"/>
    <s v="STATUS-COMPLETE"/>
    <x v="1"/>
  </r>
  <r>
    <x v="101"/>
    <n v="45893"/>
    <n v="0.7189699074074074"/>
    <x v="0"/>
    <x v="4"/>
    <n v="24"/>
    <n v="1"/>
    <s v="17 - 18 hr"/>
    <x v="6"/>
    <m/>
    <m/>
    <s v="Counselling Team - NPS"/>
    <x v="0"/>
    <x v="1"/>
    <n v="7833293142"/>
    <s v="learner077@example.com"/>
    <s v="No downloadable notes provided for complex topics. Difficult to review mathematical formulas and algorithms without written reference material. || Resolution: Created comprehensive downloadable study guides for all modules"/>
    <x v="0"/>
    <x v="8"/>
    <n v="3"/>
    <x v="1"/>
    <s v="Solved"/>
    <s v="Issue_solved_date_absent"/>
    <s v="Issue_solved_date_absent"/>
    <x v="2"/>
    <s v="STATUS-COMPLETE"/>
    <x v="1"/>
  </r>
  <r>
    <x v="102"/>
    <n v="45893"/>
    <n v="0.63299768518518518"/>
    <x v="0"/>
    <x v="4"/>
    <n v="24"/>
    <n v="1"/>
    <s v="15 - 16 hr"/>
    <x v="2"/>
    <n v="45902"/>
    <n v="0.64349537037037041"/>
    <s v="Counselling Team - NPS"/>
    <x v="0"/>
    <x v="1"/>
    <n v="9978271740"/>
    <s v="learner161@example.com"/>
    <s v="Machine Learning module lacks MLOps content. No coverage of model deployment, monitoring, or A/B testing. Industry expects end-to-end ML pipeline knowledge. || Resolution: Adding MLOps specialization track with hands-on deployment projects"/>
    <x v="3"/>
    <x v="13"/>
    <n v="7"/>
    <x v="1"/>
    <s v="Solved"/>
    <n v="216.25194444449153"/>
    <n v="9.01"/>
    <x v="4"/>
    <s v="STATUS-COMPLETE"/>
    <x v="1"/>
  </r>
  <r>
    <x v="103"/>
    <n v="45893"/>
    <n v="0.78039351851851857"/>
    <x v="0"/>
    <x v="4"/>
    <n v="24"/>
    <n v="1"/>
    <s v="18 - 19 hr"/>
    <x v="7"/>
    <n v="45903"/>
    <n v="0.47442129629629631"/>
    <s v="Counselling Team - NPS"/>
    <x v="0"/>
    <x v="1"/>
    <n v="7980989514"/>
    <s v="learner184@example.com"/>
    <s v="Screen sharing resolution too low during coding sessions. Can't read code examples on mobile device. Zoom compression makes text blurry. || Resolution: Upgraded streaming quality to 1080p and optimized for mobile viewing"/>
    <x v="1"/>
    <x v="12"/>
    <n v="8"/>
    <x v="1"/>
    <s v="Solved"/>
    <n v="232.65666666661855"/>
    <n v="9.69"/>
    <x v="4"/>
    <s v="STATUS-COMPLETE"/>
    <x v="1"/>
  </r>
  <r>
    <x v="104"/>
    <n v="45893"/>
    <n v="0.41627314814814814"/>
    <x v="0"/>
    <x v="4"/>
    <n v="24"/>
    <n v="1"/>
    <s v="9 - 10 hr"/>
    <x v="9"/>
    <n v="45901"/>
    <n v="0.53260416666666666"/>
    <s v="Counselling Team - NPS"/>
    <x v="0"/>
    <x v="2"/>
    <n v="8000717686"/>
    <s v="learner188@example.com"/>
    <s v="Background verification issues due to previous Microsoft closure. Documentation unavailable but work experience legitimate and verifiable through colleagues. || Resolution: Created alternative verification process using professional references"/>
    <x v="3"/>
    <x v="7"/>
    <n v="2"/>
    <x v="1"/>
    <s v="Solved"/>
    <n v="194.79194444435416"/>
    <n v="8.1199999999999992"/>
    <x v="4"/>
    <s v="STATUS-COMPLETE"/>
    <x v="1"/>
  </r>
  <r>
    <x v="105"/>
    <n v="45893"/>
    <n v="0.44277777777777777"/>
    <x v="0"/>
    <x v="4"/>
    <n v="24"/>
    <n v="1"/>
    <s v="10 - 11 hr"/>
    <x v="9"/>
    <n v="45905"/>
    <n v="0.44243055555555555"/>
    <s v="Counselling Team - NPS"/>
    <x v="0"/>
    <x v="1"/>
    <n v="8868237222"/>
    <s v="learner190@example.com"/>
    <s v="Priya Patel rushes through Python concepts without checking student understanding. Covers list comprehensions, decorators, and generators in single session. No time for practice exercises. || Resolution: Restructured curriculum to allocate more time per concept"/>
    <x v="3"/>
    <x v="10"/>
    <n v="8"/>
    <x v="1"/>
    <s v="Solved"/>
    <n v="287.99166666681413"/>
    <n v="12"/>
    <x v="4"/>
    <s v="STATUS-COMPLETE"/>
    <x v="1"/>
  </r>
  <r>
    <x v="106"/>
    <n v="45894"/>
    <n v="0.5879050925925926"/>
    <x v="0"/>
    <x v="4"/>
    <n v="25"/>
    <n v="2"/>
    <s v="14 - 15 hr"/>
    <x v="4"/>
    <n v="45900"/>
    <n v="0.75266203703703705"/>
    <s v="Counselling Team - NPS"/>
    <x v="0"/>
    <x v="3"/>
    <n v="8220401982"/>
    <s v="learner073@example.com"/>
    <s v="TA support only available during office hours. Working professionals need evening and weekend support for assignment debugging and concept clarification. || Resolution: Extended TA support hours to include evenings and Saturday coverage"/>
    <x v="1"/>
    <x v="5"/>
    <n v="10"/>
    <x v="1"/>
    <s v="Solved"/>
    <n v="147.95416666654637"/>
    <n v="6.16"/>
    <x v="3"/>
    <s v="STATUS-COMPLETE"/>
    <x v="1"/>
  </r>
  <r>
    <x v="107"/>
    <n v="45894"/>
    <n v="0.65405092592592595"/>
    <x v="0"/>
    <x v="4"/>
    <n v="25"/>
    <n v="2"/>
    <s v="15 - 16 hr"/>
    <x v="8"/>
    <n v="45895"/>
    <n v="0.40567129629629628"/>
    <s v="Counselling Team - NPS"/>
    <x v="0"/>
    <x v="1"/>
    <n v="9430335702"/>
    <s v="learner140@example.com"/>
    <s v="No downloadable notes provided for complex topics. Difficult to review mathematical formulas and algorithms without written reference material. || Resolution: Created comprehensive downloadable study guides for all modules"/>
    <x v="2"/>
    <x v="8"/>
    <n v="7"/>
    <x v="1"/>
    <s v="Solved"/>
    <n v="18.038888888899237"/>
    <n v="0.75"/>
    <x v="1"/>
    <s v="STATUS-COMPLETE"/>
    <x v="1"/>
  </r>
  <r>
    <x v="108"/>
    <n v="45895"/>
    <n v="0.64553240740740736"/>
    <x v="0"/>
    <x v="4"/>
    <n v="26"/>
    <n v="3"/>
    <s v="15 - 16 hr"/>
    <x v="8"/>
    <m/>
    <m/>
    <s v="Counselling Team - NPS"/>
    <x v="0"/>
    <x v="1"/>
    <n v="8324663629"/>
    <s v="learner132@example.com"/>
    <s v="Weekend AIML Aug25 timing (10 AM - 2 PM) conflicts with family time. Children's activities and household responsibilities suffer due to class schedule. || Resolution: Created flexible weekend options with shorter session formats"/>
    <x v="1"/>
    <x v="1"/>
    <n v="6"/>
    <x v="0"/>
    <s v="In Progress"/>
    <s v="Issue_pending"/>
    <s v="Issue_pending"/>
    <x v="0"/>
    <n v="34"/>
    <x v="0"/>
  </r>
  <r>
    <x v="109"/>
    <n v="45895"/>
    <n v="0.77575231481481477"/>
    <x v="0"/>
    <x v="4"/>
    <n v="26"/>
    <n v="3"/>
    <s v="18 - 19 hr"/>
    <x v="5"/>
    <n v="45901"/>
    <n v="0.62116898148148147"/>
    <s v="Counselling Team - NPS"/>
    <x v="0"/>
    <x v="1"/>
    <n v="8345122542"/>
    <s v="learner160@example.com"/>
    <s v="Audio-video sync issues during recorded playback. Instructor Nina Patel's voice doesn't match lip movement by 2-3 seconds. Distracting during learning. || Resolution: Fixed encoding pipeline and re-processed affected recordings"/>
    <x v="3"/>
    <x v="12"/>
    <n v="4"/>
    <x v="1"/>
    <s v="Solved"/>
    <n v="140.28999999992084"/>
    <n v="5.85"/>
    <x v="3"/>
    <s v="STATUS-COMPLETE"/>
    <x v="1"/>
  </r>
  <r>
    <x v="110"/>
    <n v="45896"/>
    <n v="0.83298611111111109"/>
    <x v="0"/>
    <x v="4"/>
    <n v="27"/>
    <n v="4"/>
    <s v="19 - 20 hr"/>
    <x v="7"/>
    <n v="45902"/>
    <n v="0.63937500000000003"/>
    <s v="Counselling Team - NPS"/>
    <x v="0"/>
    <x v="3"/>
    <n v="7391807468"/>
    <s v="learner058@example.com"/>
    <s v="Resume feedback too generic. Mentor suggests 'add more projects' without specific guidance on what types of projects or how to showcase impact. || Resolution: Provided mentor training on detailed resume optimization techniques"/>
    <x v="1"/>
    <x v="9"/>
    <n v="5"/>
    <x v="1"/>
    <s v="Solved"/>
    <n v="139.35333333327435"/>
    <n v="5.81"/>
    <x v="3"/>
    <s v="STATUS-COMPLETE"/>
    <x v="1"/>
  </r>
  <r>
    <x v="111"/>
    <n v="45896"/>
    <n v="0.87178240740740742"/>
    <x v="0"/>
    <x v="4"/>
    <n v="27"/>
    <n v="4"/>
    <s v="20 - 21 hr"/>
    <x v="4"/>
    <n v="45900"/>
    <n v="0.60982638888888885"/>
    <s v="Counselling Team - NPS"/>
    <x v="0"/>
    <x v="3"/>
    <n v="7561636336"/>
    <s v="learner100@example.com"/>
    <s v="Teaching Assistant lacks depth in advanced topics. Can help with basic syntax but struggles with algorithm optimization and complexity analysis questions. || Resolution: Assigned senior TA with computer science background for advanced topic support"/>
    <x v="1"/>
    <x v="5"/>
    <n v="1"/>
    <x v="1"/>
    <s v="Solved"/>
    <n v="89.713055555534083"/>
    <n v="3.74"/>
    <x v="1"/>
    <s v="STATUS-COMPLETE"/>
    <x v="1"/>
  </r>
  <r>
    <x v="112"/>
    <n v="45896"/>
    <n v="0.57017361111111109"/>
    <x v="0"/>
    <x v="4"/>
    <n v="27"/>
    <n v="4"/>
    <s v="13 - 14 hr"/>
    <x v="7"/>
    <n v="45904"/>
    <n v="0.69527777777777777"/>
    <s v="Counselling Team - NPS"/>
    <x v="0"/>
    <x v="1"/>
    <n v="9801601713"/>
    <s v="learner114@example.com"/>
    <s v="System Design course only teaches monolithic patterns. Microservices, event-driven architecture, and serverless barely mentioned. Need cloud-native design patterns. || Resolution: Expanding curriculum with 40 hours of distributed systems content"/>
    <x v="1"/>
    <x v="13"/>
    <n v="1"/>
    <x v="1"/>
    <s v="Solved"/>
    <n v="195.00250000006054"/>
    <n v="8.1300000000000008"/>
    <x v="4"/>
    <s v="STATUS-COMPLETE"/>
    <x v="1"/>
  </r>
  <r>
    <x v="113"/>
    <n v="45896"/>
    <n v="0.5138194444444445"/>
    <x v="0"/>
    <x v="4"/>
    <n v="27"/>
    <n v="4"/>
    <s v="12 - 13 hr"/>
    <x v="5"/>
    <n v="45901"/>
    <n v="0.63319444444444439"/>
    <s v="Counselling Team - NPS"/>
    <x v="0"/>
    <x v="0"/>
    <n v="8988677919"/>
    <s v="learner129@example.com"/>
    <s v="Audio-video sync issues during recorded playback. Instructor Ravi Sharma's voice doesn't match lip movement by 2-3 seconds. Distracting during learning. || Resolution: Fixed encoding pipeline and re-processed affected recordings"/>
    <x v="0"/>
    <x v="12"/>
    <n v="6"/>
    <x v="1"/>
    <s v="Solved"/>
    <n v="122.86500000004889"/>
    <n v="5.12"/>
    <x v="3"/>
    <s v="STATUS-COMPLETE"/>
    <x v="1"/>
  </r>
  <r>
    <x v="114"/>
    <n v="45896"/>
    <n v="0.54325231481481484"/>
    <x v="0"/>
    <x v="4"/>
    <n v="27"/>
    <n v="4"/>
    <s v="13 - 14 hr"/>
    <x v="1"/>
    <n v="45904"/>
    <n v="0.67366898148148147"/>
    <s v="Counselling Team - NPS"/>
    <x v="0"/>
    <x v="2"/>
    <n v="9309011435"/>
    <s v="learner163@example.com"/>
    <s v="Geographic restrictions limiting opportunities. Family commitments require staying in Tier-2 city but most opportunities in Bangalore/Hyderabad. || Resolution: Focused on remote opportunities and companies with distributed teams"/>
    <x v="2"/>
    <x v="4"/>
    <n v="7"/>
    <x v="1"/>
    <s v="Solved"/>
    <n v="195.13000000000466"/>
    <n v="8.1300000000000008"/>
    <x v="4"/>
    <s v="STATUS-COMPLETE"/>
    <x v="1"/>
  </r>
  <r>
    <x v="115"/>
    <n v="45896"/>
    <n v="0.44289351851851849"/>
    <x v="0"/>
    <x v="4"/>
    <n v="27"/>
    <n v="4"/>
    <s v="10 - 11 hr"/>
    <x v="4"/>
    <n v="45904"/>
    <n v="0.50413194444444442"/>
    <s v="Counselling Team - NPS"/>
    <x v="0"/>
    <x v="0"/>
    <n v="8509834067"/>
    <s v="learner176@example.com"/>
    <s v="Holiday classes scheduled during Diwali week without considering festival commitments. Attendance drops to 30% affecting AIML Jul25 momentum. || Resolution: Rescheduled holiday periods and created festival-friendly calendar"/>
    <x v="2"/>
    <x v="11"/>
    <n v="2"/>
    <x v="1"/>
    <s v="Solved"/>
    <n v="193.46972222212935"/>
    <n v="8.06"/>
    <x v="4"/>
    <s v="STATUS-COMPLETE"/>
    <x v="1"/>
  </r>
  <r>
    <x v="116"/>
    <n v="45896"/>
    <n v="0.50420138888888888"/>
    <x v="0"/>
    <x v="4"/>
    <n v="27"/>
    <n v="4"/>
    <s v="12 - 13 hr"/>
    <x v="4"/>
    <n v="45908"/>
    <n v="0.71993055555555552"/>
    <s v="Counselling Team - NPS"/>
    <x v="0"/>
    <x v="1"/>
    <n v="9455732633"/>
    <s v="learner210@example.com"/>
    <s v="Sarah Johnson teaching DevOps has microphone issues every class. Voice cuts out during Docker explanations, students miss critical commands. Reported 4 times this month, still not fixed. || Resolution: Technical team replaced instructor's audio equipment immediately"/>
    <x v="1"/>
    <x v="10"/>
    <n v="1"/>
    <x v="1"/>
    <s v="Solved"/>
    <n v="293.17749999999069"/>
    <n v="12.22"/>
    <x v="4"/>
    <s v="STATUS-COMPLETE"/>
    <x v="1"/>
  </r>
  <r>
    <x v="117"/>
    <n v="45897"/>
    <n v="0.87187499999999996"/>
    <x v="0"/>
    <x v="4"/>
    <n v="28"/>
    <n v="5"/>
    <s v="20 - 21 hr"/>
    <x v="6"/>
    <m/>
    <m/>
    <s v="Counselling Team - NPS"/>
    <x v="0"/>
    <x v="2"/>
    <n v="8113219231"/>
    <s v="learner008@example.com"/>
    <s v="Considering career break for higher studies (MS abroad). Need advice on timing, university selection, and maintaining professional network during studies. || Resolution: Provided comprehensive higher education guidance and alumni connections"/>
    <x v="0"/>
    <x v="2"/>
    <n v="3"/>
    <x v="0"/>
    <s v="In Progress"/>
    <s v="Issue_pending"/>
    <s v="Issue_pending"/>
    <x v="0"/>
    <n v="32"/>
    <x v="0"/>
  </r>
  <r>
    <x v="118"/>
    <n v="45897"/>
    <n v="0.55758101851851849"/>
    <x v="0"/>
    <x v="4"/>
    <n v="28"/>
    <n v="5"/>
    <s v="13 - 14 hr"/>
    <x v="7"/>
    <n v="45908"/>
    <n v="0.51383101851851853"/>
    <s v="Counselling Team - NPS"/>
    <x v="0"/>
    <x v="1"/>
    <n v="8885790857"/>
    <s v="learner165@example.com"/>
    <s v="No downloadable notes provided for complex topics. Difficult to review mathematical formulas and algorithms without written reference material. || Resolution: Created comprehensive downloadable study guides for all modules"/>
    <x v="2"/>
    <x v="8"/>
    <n v="7"/>
    <x v="1"/>
    <s v="Solved"/>
    <n v="262.95000000006985"/>
    <n v="10.96"/>
    <x v="4"/>
    <s v="STATUS-COMPLETE"/>
    <x v="1"/>
  </r>
  <r>
    <x v="119"/>
    <n v="45897"/>
    <n v="0.4299189814814815"/>
    <x v="0"/>
    <x v="4"/>
    <n v="28"/>
    <n v="5"/>
    <s v="10 - 11 hr"/>
    <x v="2"/>
    <n v="45899"/>
    <n v="0.73239583333333336"/>
    <s v="Counselling Team - NPS"/>
    <x v="0"/>
    <x v="2"/>
    <n v="7872726570"/>
    <s v="learner180@example.com"/>
    <s v="Job offers coming from service companies but goal is product companies. Unable to break into companies like Flipkart, Swiggy, or Zomato despite preparation. || Resolution: Connected with product Uber employees for referrals and insider insights"/>
    <x v="3"/>
    <x v="4"/>
    <n v="3"/>
    <x v="1"/>
    <s v="Solved"/>
    <n v="55.259444444440305"/>
    <n v="2.2999999999999998"/>
    <x v="1"/>
    <s v="STATUS-COMPLETE"/>
    <x v="1"/>
  </r>
  <r>
    <x v="120"/>
    <n v="45897"/>
    <n v="0.65517361111111116"/>
    <x v="0"/>
    <x v="4"/>
    <n v="28"/>
    <n v="5"/>
    <s v="15 - 16 hr"/>
    <x v="5"/>
    <m/>
    <m/>
    <s v="Counselling Team - NPS"/>
    <x v="0"/>
    <x v="1"/>
    <n v="8520174713"/>
    <s v="learner196@example.com"/>
    <s v="Teaching pace in Data Structures class is inconsistent. Some days covers 3 algorithms, other days struggles with basic concepts. No structured lesson planning visible. || Resolution: Introduced standardized lesson plans with time allocations"/>
    <x v="0"/>
    <x v="10"/>
    <n v="5"/>
    <x v="0"/>
    <s v="Awaiting Action - Learner"/>
    <s v="Issue_pending"/>
    <s v="Issue_pending"/>
    <x v="0"/>
    <n v="32"/>
    <x v="0"/>
  </r>
  <r>
    <x v="121"/>
    <n v="45898"/>
    <n v="0.59961805555555558"/>
    <x v="0"/>
    <x v="4"/>
    <n v="29"/>
    <n v="6"/>
    <s v="14 - 15 hr"/>
    <x v="5"/>
    <n v="45903"/>
    <n v="0.37662037037037038"/>
    <s v="Counselling Team - NPS"/>
    <x v="0"/>
    <x v="1"/>
    <n v="8048819999"/>
    <s v="learner041@example.com"/>
    <s v="Weekend Academy Jul25 Intermediate timing (10 AM - 2 PM) conflicts with family time. Children's activities and household responsibilities suffer due to class schedule. || Resolution: Created flexible weekend options with shorter session formats"/>
    <x v="2"/>
    <x v="1"/>
    <n v="5"/>
    <x v="1"/>
    <s v="Solved"/>
    <n v="114.64805555564817"/>
    <n v="4.78"/>
    <x v="3"/>
    <s v="STATUS-COMPLETE"/>
    <x v="1"/>
  </r>
  <r>
    <x v="122"/>
    <n v="45898"/>
    <n v="0.7245949074074074"/>
    <x v="0"/>
    <x v="4"/>
    <n v="29"/>
    <n v="6"/>
    <s v="17 - 18 hr"/>
    <x v="8"/>
    <m/>
    <m/>
    <s v="Counselling Team - NPS"/>
    <x v="0"/>
    <x v="1"/>
    <n v="8555424924"/>
    <s v="learner091@example.com"/>
    <s v="Capstone project requirements unclear and keep changing. Initially asked for web app, then data analysis, now ML model. Wasted 3 weeks on wrong direction. || Resolution: Standardized project requirements and assigned dedicated project coordinator"/>
    <x v="0"/>
    <x v="6"/>
    <n v="2"/>
    <x v="0"/>
    <s v="Awaiting Action - Learner"/>
    <s v="Issue_pending"/>
    <s v="Issue_pending"/>
    <x v="0"/>
    <n v="31"/>
    <x v="0"/>
  </r>
  <r>
    <x v="123"/>
    <n v="45898"/>
    <n v="0.67259259259259263"/>
    <x v="0"/>
    <x v="4"/>
    <n v="29"/>
    <n v="6"/>
    <s v="16 - 17 hr"/>
    <x v="4"/>
    <n v="45902"/>
    <n v="0.77158564814814812"/>
    <s v="Counselling Team - NPS"/>
    <x v="0"/>
    <x v="2"/>
    <n v="8961934510"/>
    <s v="learner122@example.com"/>
    <s v="Placement team requires 2+ years experience but won't help freshers. Catch-22 situation where experience needed for placement but placement needed for experience. || Resolution: Launched fresh graduate placement track with entry-level focused companies"/>
    <x v="0"/>
    <x v="7"/>
    <n v="1"/>
    <x v="1"/>
    <s v="Solved"/>
    <n v="98.375833333237097"/>
    <n v="4.0999999999999996"/>
    <x v="3"/>
    <s v="STATUS-COMPLETE"/>
    <x v="1"/>
  </r>
  <r>
    <x v="124"/>
    <n v="45898"/>
    <n v="0.56199074074074074"/>
    <x v="0"/>
    <x v="4"/>
    <n v="29"/>
    <n v="6"/>
    <s v="13 - 14 hr"/>
    <x v="7"/>
    <n v="45905"/>
    <n v="0.4405324074074074"/>
    <s v="Counselling Team - NPS"/>
    <x v="0"/>
    <x v="0"/>
    <n v="7388354759"/>
    <s v="learner192@example.com"/>
    <s v="Weekend AIML sessions run 5 hours straight (10 AM - 3 PM) without proper breaks. Exhausting for working parents with family commitments on weekends. || Resolution: Restructured to 3-hour sessions with 30-minute breaks every 90 minutes"/>
    <x v="3"/>
    <x v="11"/>
    <n v="3"/>
    <x v="1"/>
    <s v="Solved"/>
    <n v="165.08500000013737"/>
    <n v="6.88"/>
    <x v="3"/>
    <s v="STATUS-COMPLETE"/>
    <x v="1"/>
  </r>
  <r>
    <x v="125"/>
    <n v="45899"/>
    <n v="0.63552083333333331"/>
    <x v="0"/>
    <x v="4"/>
    <n v="30"/>
    <n v="7"/>
    <s v="15 - 16 hr"/>
    <x v="9"/>
    <n v="45910"/>
    <n v="0.75885416666666672"/>
    <s v="Counselling Team - NPS"/>
    <x v="0"/>
    <x v="0"/>
    <n v="7457788949"/>
    <s v="learner006@example.com"/>
    <s v="Morning Academy Jul25 Intermediate (9 AM - 12 PM) conflicts with Infosys office hours. Requested evening transfer 5 times over 2 months but no response from counseling team. || Resolution: Immediately transferred to 7-10 PM evening Academy Jul25 Intermediate with same instructor"/>
    <x v="0"/>
    <x v="11"/>
    <n v="2"/>
    <x v="1"/>
    <s v="Solved"/>
    <n v="266.96000000007916"/>
    <n v="11.12"/>
    <x v="4"/>
    <s v="STATUS-COMPLETE"/>
    <x v="1"/>
  </r>
  <r>
    <x v="126"/>
    <n v="45899"/>
    <n v="0.70157407407407413"/>
    <x v="0"/>
    <x v="4"/>
    <n v="30"/>
    <n v="7"/>
    <s v="16 - 17 hr"/>
    <x v="8"/>
    <n v="45902"/>
    <n v="0.66366898148148146"/>
    <s v="Counselling Team - NPS"/>
    <x v="0"/>
    <x v="1"/>
    <n v="9676878743"/>
    <s v="learner039@example.com"/>
    <s v="No downloadable notes provided for complex topics. Difficult to review mathematical formulas and algorithms without written reference material. || Resolution: Created comprehensive downloadable study guides for all modules"/>
    <x v="3"/>
    <x v="8"/>
    <n v="7"/>
    <x v="1"/>
    <s v="Solved"/>
    <n v="71.090277777810115"/>
    <n v="2.96"/>
    <x v="1"/>
    <s v="STATUS-COMPLETE"/>
    <x v="1"/>
  </r>
  <r>
    <x v="127"/>
    <n v="45899"/>
    <n v="0.87167824074074074"/>
    <x v="0"/>
    <x v="4"/>
    <n v="30"/>
    <n v="7"/>
    <s v="20 - 21 hr"/>
    <x v="4"/>
    <n v="45906"/>
    <n v="0.45189814814814816"/>
    <s v="Counselling Team - NPS"/>
    <x v="0"/>
    <x v="1"/>
    <n v="8939413575"/>
    <s v="learner057@example.com"/>
    <s v="Evening DevOps Jul25 starts at 7 PM when dinner time with family. Work-life balance getting affected due to late learning schedule. || Resolution: Introduced early evening slots (6-8 PM) based on demand"/>
    <x v="2"/>
    <x v="1"/>
    <n v="1"/>
    <x v="1"/>
    <s v="Solved"/>
    <n v="157.92527777765645"/>
    <n v="6.58"/>
    <x v="3"/>
    <s v="STATUS-COMPLETE"/>
    <x v="1"/>
  </r>
  <r>
    <x v="128"/>
    <n v="45899"/>
    <n v="0.5191782407407407"/>
    <x v="0"/>
    <x v="4"/>
    <n v="30"/>
    <n v="7"/>
    <s v="12 - 13 hr"/>
    <x v="4"/>
    <m/>
    <m/>
    <s v="Counselling Team - NPS"/>
    <x v="0"/>
    <x v="0"/>
    <n v="9250402001"/>
    <s v="learner067@example.com"/>
    <s v="Capstone project requirements unclear and keep changing. Initially asked for web app, then data analysis, now ML model. Wasted 3 weeks on wrong direction. || Resolution: Standardized project requirements and assigned dedicated project coordinator"/>
    <x v="2"/>
    <x v="6"/>
    <n v="2"/>
    <x v="1"/>
    <s v="Solved"/>
    <s v="Issue_solved_date_absent"/>
    <s v="Issue_solved_date_absent"/>
    <x v="2"/>
    <s v="STATUS-COMPLETE"/>
    <x v="1"/>
  </r>
  <r>
    <x v="129"/>
    <n v="45899"/>
    <n v="0.39590277777777777"/>
    <x v="0"/>
    <x v="4"/>
    <n v="30"/>
    <n v="7"/>
    <s v="9 - 10 hr"/>
    <x v="10"/>
    <m/>
    <m/>
    <s v="Counselling Team - NPS"/>
    <x v="0"/>
    <x v="2"/>
    <n v="8786600854"/>
    <s v="learner155@example.com"/>
    <s v="Previous employment gap of 3 years due to child care responsibilities creates placement barrier. Returning mothers face additional discrimination. || Resolution: Partnered with diversity-focused companies supporting career restart initiatives"/>
    <x v="3"/>
    <x v="7"/>
    <n v="7"/>
    <x v="0"/>
    <s v="In Progress"/>
    <s v="Issue_pending"/>
    <s v="Issue_pending"/>
    <x v="0"/>
    <n v="30"/>
    <x v="0"/>
  </r>
  <r>
    <x v="130"/>
    <n v="45900"/>
    <n v="0.51609953703703704"/>
    <x v="0"/>
    <x v="5"/>
    <n v="31"/>
    <n v="1"/>
    <s v="12 - 13 hr"/>
    <x v="3"/>
    <n v="45910"/>
    <n v="0.73493055555555553"/>
    <s v="Counselling Team - NPS"/>
    <x v="0"/>
    <x v="2"/>
    <n v="7060766757"/>
    <s v="learner023@example.com"/>
    <s v="Sales promised 100% job guarantee within 6 months but placement team says no such commitment exists. Feel misled about course outcomes. || Resolution: Clarified placement support terms and provided additional career assistance"/>
    <x v="2"/>
    <x v="0"/>
    <n v="6"/>
    <x v="1"/>
    <s v="Solved"/>
    <n v="245.25194444437511"/>
    <n v="10.220000000000001"/>
    <x v="4"/>
    <s v="STATUS-COMPLETE"/>
    <x v="1"/>
  </r>
  <r>
    <x v="131"/>
    <n v="45900"/>
    <n v="0.49416666666666664"/>
    <x v="0"/>
    <x v="5"/>
    <n v="31"/>
    <n v="1"/>
    <s v="11 - 12 hr"/>
    <x v="3"/>
    <n v="45902"/>
    <n v="0.64657407407407408"/>
    <s v="Counselling Team - NPS"/>
    <x v="0"/>
    <x v="3"/>
    <n v="7365849190"/>
    <s v="learner025@example.com"/>
    <s v="Language barrier with some TAs makes doubt sessions ineffective. Accent and communication style difficult to understand during technical explanations. || Resolution: Provided communication training and paired TAs with complementary strengths"/>
    <x v="2"/>
    <x v="5"/>
    <n v="5"/>
    <x v="1"/>
    <s v="Solved"/>
    <n v="51.65777777787298"/>
    <n v="2.15"/>
    <x v="1"/>
    <s v="STATUS-COMPLETE"/>
    <x v="1"/>
  </r>
  <r>
    <x v="132"/>
    <n v="45900"/>
    <n v="0.43775462962962963"/>
    <x v="0"/>
    <x v="5"/>
    <n v="31"/>
    <n v="1"/>
    <s v="10 - 11 hr"/>
    <x v="4"/>
    <n v="45908"/>
    <n v="0.54973379629629626"/>
    <s v="Counselling Team - NPS"/>
    <x v="0"/>
    <x v="2"/>
    <n v="8431548670"/>
    <s v="learner031@example.com"/>
    <s v="Mike Wilson uses outdated examples in Machine Learning classes. Still teaching scikit-learn 0.22 syntax when industry uses 1.3+. Students struggle with modern ML libraries. || Resolution: Updated all code examples to latest library versions"/>
    <x v="0"/>
    <x v="10"/>
    <n v="8"/>
    <x v="1"/>
    <s v="Solved"/>
    <n v="194.68749999994179"/>
    <n v="8.11"/>
    <x v="4"/>
    <s v="STATUS-COMPLETE"/>
    <x v="1"/>
  </r>
  <r>
    <x v="133"/>
    <n v="45900"/>
    <n v="0.84416666666666662"/>
    <x v="0"/>
    <x v="5"/>
    <n v="31"/>
    <n v="1"/>
    <s v="20 - 21 hr"/>
    <x v="4"/>
    <n v="45909"/>
    <n v="0.7253356481481481"/>
    <s v="Counselling Team - NPS"/>
    <x v="0"/>
    <x v="1"/>
    <n v="8003143045"/>
    <s v="learner037@example.com"/>
    <s v="Lecture slides contain only bullet points without detailed explanations. Need comprehensive notes for exam preparation and interview revision. || Resolution: Enhanced slides with detailed explanations and examples"/>
    <x v="1"/>
    <x v="8"/>
    <n v="5"/>
    <x v="1"/>
    <s v="Solved"/>
    <n v="213.14805555541534"/>
    <n v="8.8800000000000008"/>
    <x v="4"/>
    <s v="STATUS-COMPLETE"/>
    <x v="1"/>
  </r>
  <r>
    <x v="134"/>
    <n v="45900"/>
    <n v="0.38092592592592595"/>
    <x v="0"/>
    <x v="5"/>
    <n v="31"/>
    <n v="1"/>
    <s v="9 - 10 hr"/>
    <x v="0"/>
    <n v="45907"/>
    <n v="0.65474537037037039"/>
    <s v="Counselling Team - NPS"/>
    <x v="0"/>
    <x v="1"/>
    <n v="8425906387"/>
    <s v="learner038@example.com"/>
    <s v="Lecture slides contain only bullet points without detailed explanations. Need comprehensive notes for exam preparation and interview revision. || Resolution: Enhanced slides with detailed explanations and examples"/>
    <x v="3"/>
    <x v="8"/>
    <n v="7"/>
    <x v="1"/>
    <s v="Solved"/>
    <n v="174.57166666653939"/>
    <n v="7.27"/>
    <x v="3"/>
    <s v="STATUS-COMPLETE"/>
    <x v="1"/>
  </r>
  <r>
    <x v="135"/>
    <n v="45900"/>
    <n v="0.41229166666666667"/>
    <x v="0"/>
    <x v="5"/>
    <n v="31"/>
    <n v="1"/>
    <s v="9 - 10 hr"/>
    <x v="4"/>
    <n v="45907"/>
    <n v="0.76569444444444446"/>
    <s v="Counselling Team - NPS"/>
    <x v="0"/>
    <x v="2"/>
    <n v="8178884276"/>
    <s v="learner044@example.com"/>
    <s v="Overqualified for junior positions, underqualified for senior roles. 6 years in different domain creates positioning challenge for appropriate level targeting. || Resolution: Developed targeted application strategy for career pivot roles"/>
    <x v="1"/>
    <x v="3"/>
    <n v="8"/>
    <x v="1"/>
    <s v="Solved"/>
    <n v="176.4816666666884"/>
    <n v="7.35"/>
    <x v="3"/>
    <s v="STATUS-COMPLETE"/>
    <x v="1"/>
  </r>
  <r>
    <x v="136"/>
    <n v="45900"/>
    <n v="0.38626157407407408"/>
    <x v="0"/>
    <x v="5"/>
    <n v="31"/>
    <n v="1"/>
    <s v="9 - 10 hr"/>
    <x v="5"/>
    <n v="45903"/>
    <n v="0.68656249999999996"/>
    <s v="Counselling Team - NPS"/>
    <x v="0"/>
    <x v="2"/>
    <n v="9357096258"/>
    <s v="learner081@example.com"/>
    <s v="Interested in startup environment but concerned about job security with family responsibilities. Need advice on evaluating startup opportunities vs established companies. || Resolution: Conducted detailed career counseling session on risk assessment and planning"/>
    <x v="2"/>
    <x v="2"/>
    <n v="3"/>
    <x v="1"/>
    <s v="Solved"/>
    <n v="79.207222222234122"/>
    <n v="3.3"/>
    <x v="1"/>
    <s v="STATUS-COMPLETE"/>
    <x v="1"/>
  </r>
  <r>
    <x v="137"/>
    <n v="45900"/>
    <n v="0.86644675925925929"/>
    <x v="0"/>
    <x v="5"/>
    <n v="31"/>
    <n v="1"/>
    <s v="20 - 21 hr"/>
    <x v="4"/>
    <n v="45903"/>
    <n v="0.49993055555555554"/>
    <s v="Counselling Team - NPS"/>
    <x v="0"/>
    <x v="1"/>
    <n v="7964285941"/>
    <s v="learner185@example.com"/>
    <s v="Weekend Academy Jul25 Beginner timing (10 AM - 2 PM) conflicts with family time. Children's activities and household responsibilities suffer due to class schedule. || Resolution: Created flexible weekend options with shorter session formats"/>
    <x v="2"/>
    <x v="1"/>
    <n v="5"/>
    <x v="1"/>
    <s v="Solved"/>
    <n v="63.203611111035571"/>
    <n v="2.63"/>
    <x v="1"/>
    <s v="STATUS-COMPLETE"/>
    <x v="1"/>
  </r>
  <r>
    <x v="138"/>
    <n v="45900"/>
    <n v="0.62250000000000005"/>
    <x v="0"/>
    <x v="5"/>
    <n v="31"/>
    <n v="1"/>
    <s v="14 - 15 hr"/>
    <x v="8"/>
    <n v="45911"/>
    <n v="0.54561342592592588"/>
    <s v="Counselling Team - NPS"/>
    <x v="0"/>
    <x v="3"/>
    <n v="7801367625"/>
    <s v="learner212@example.com"/>
    <s v="Teaching Assistant lacks depth in advanced topics. Can help with basic syntax but struggles with algorithm optimization and complexity analysis questions. || Resolution: Assigned senior TA with computer science background for advanced topic support"/>
    <x v="0"/>
    <x v="5"/>
    <n v="4"/>
    <x v="1"/>
    <s v="Solved"/>
    <n v="262.15472222235985"/>
    <n v="10.92"/>
    <x v="4"/>
    <s v="STATUS-COMPLETE"/>
    <x v="1"/>
  </r>
  <r>
    <x v="139"/>
    <n v="45900"/>
    <n v="0.5540856481481482"/>
    <x v="0"/>
    <x v="5"/>
    <n v="31"/>
    <n v="1"/>
    <s v="13 - 14 hr"/>
    <x v="6"/>
    <m/>
    <m/>
    <s v="Counselling Team - NPS"/>
    <x v="0"/>
    <x v="3"/>
    <n v="9990082548"/>
    <s v="learner219@example.com"/>
    <s v="No code review feedback provided for assignments. Submitting working solutions but don't know if following best practices or industry standards. || Resolution: Introduced mandatory code review sessions with senior developers"/>
    <x v="2"/>
    <x v="6"/>
    <n v="7"/>
    <x v="0"/>
    <s v="Awaiting Action - Learner"/>
    <s v="Issue_pending"/>
    <s v="Issue_pending"/>
    <x v="0"/>
    <n v="29"/>
    <x v="0"/>
  </r>
  <r>
    <x v="140"/>
    <n v="45901"/>
    <n v="0.59788194444444442"/>
    <x v="1"/>
    <x v="5"/>
    <n v="1"/>
    <n v="2"/>
    <s v="14 - 15 hr"/>
    <x v="2"/>
    <n v="45906"/>
    <n v="0.66996527777777781"/>
    <s v="Counselling Team - NPS"/>
    <x v="0"/>
    <x v="2"/>
    <n v="7346078411"/>
    <s v="learner009@example.com"/>
    <s v="Sales promised 100% job guarantee within 6 months but placement team says no such commitment exists. Feel misled about course outcomes. || Resolution: Clarified placement support terms and provided additional career assistance"/>
    <x v="1"/>
    <x v="0"/>
    <n v="4"/>
    <x v="1"/>
    <s v="Solved"/>
    <n v="121.72999999998137"/>
    <n v="5.07"/>
    <x v="3"/>
    <s v="STATUS-COMPLETE"/>
    <x v="1"/>
  </r>
  <r>
    <x v="141"/>
    <n v="45901"/>
    <n v="0.81762731481481477"/>
    <x v="1"/>
    <x v="5"/>
    <n v="1"/>
    <n v="2"/>
    <s v="19 - 20 hr"/>
    <x v="6"/>
    <n v="45902"/>
    <n v="0.42932870370370368"/>
    <s v="Counselling Team - NPS"/>
    <x v="0"/>
    <x v="2"/>
    <n v="9377148230"/>
    <s v="learner021@example.com"/>
    <s v="Sales promised 100% job guarantee within 6 months but placement team says no such commitment exists. Feel misled about course outcomes. || Resolution: Clarified placement support terms and provided additional career assistance"/>
    <x v="0"/>
    <x v="0"/>
    <n v="5"/>
    <x v="1"/>
    <s v="Solved"/>
    <n v="14.680833333462942"/>
    <n v="0.61"/>
    <x v="1"/>
    <s v="STATUS-COMPLETE"/>
    <x v="1"/>
  </r>
  <r>
    <x v="142"/>
    <n v="45901"/>
    <n v="0.39165509259259257"/>
    <x v="1"/>
    <x v="5"/>
    <n v="1"/>
    <n v="2"/>
    <s v="9 - 10 hr"/>
    <x v="8"/>
    <n v="45905"/>
    <n v="0.69488425925925923"/>
    <s v="Counselling Team - NPS"/>
    <x v="0"/>
    <x v="1"/>
    <n v="7566862173"/>
    <s v="learner178@example.com"/>
    <s v="Evening AIML Aug25 starts at 7 PM when dinner time with family. Work-life balance getting affected due to late learning schedule. || Resolution: Introduced early evening slots (6-8 PM) based on demand"/>
    <x v="2"/>
    <x v="4"/>
    <n v="10"/>
    <x v="1"/>
    <s v="Solved"/>
    <n v="103.27750000002561"/>
    <n v="4.3"/>
    <x v="3"/>
    <s v="STATUS-COMPLETE"/>
    <x v="1"/>
  </r>
  <r>
    <x v="143"/>
    <n v="45901"/>
    <n v="0.77688657407407402"/>
    <x v="1"/>
    <x v="5"/>
    <n v="1"/>
    <n v="2"/>
    <s v="18 - 19 hr"/>
    <x v="4"/>
    <n v="45909"/>
    <n v="0.38283564814814813"/>
    <s v="Counselling Team - NPS"/>
    <x v="0"/>
    <x v="2"/>
    <n v="7166569717"/>
    <s v="learner218@example.com"/>
    <s v="Interested in international opportunities but confused about visa processes, skill requirements, and cultural preparation for US/Canada markets. || Resolution: Connected with professionals who successfully relocated internationally"/>
    <x v="0"/>
    <x v="2"/>
    <n v="9"/>
    <x v="1"/>
    <s v="Solved"/>
    <n v="182.54277777776588"/>
    <n v="7.61"/>
    <x v="3"/>
    <s v="STATUS-COMPLETE"/>
    <x v="1"/>
  </r>
  <r>
    <x v="144"/>
    <n v="45902"/>
    <n v="0.73872685185185183"/>
    <x v="1"/>
    <x v="5"/>
    <n v="2"/>
    <n v="3"/>
    <s v="17 - 18 hr"/>
    <x v="1"/>
    <n v="45912"/>
    <n v="0.51113425925925926"/>
    <s v="Counselling Team - NPS"/>
    <x v="0"/>
    <x v="1"/>
    <n v="8564319318"/>
    <s v="learner002@example.com"/>
    <s v="No code review feedback provided for assignments. Submitting working solutions but don't know if following best practices or industry standards. || Resolution: Introduced mandatory code review sessions with senior developers"/>
    <x v="0"/>
    <x v="6"/>
    <n v="3"/>
    <x v="1"/>
    <s v="Solved"/>
    <n v="234.53777777776122"/>
    <n v="9.77"/>
    <x v="4"/>
    <s v="STATUS-COMPLETE"/>
    <x v="1"/>
  </r>
  <r>
    <x v="145"/>
    <n v="45902"/>
    <n v="0.72438657407407403"/>
    <x v="1"/>
    <x v="5"/>
    <n v="2"/>
    <n v="3"/>
    <s v="17 - 18 hr"/>
    <x v="3"/>
    <n v="45913"/>
    <n v="0.67701388888888892"/>
    <s v="Counselling Team - NPS"/>
    <x v="0"/>
    <x v="2"/>
    <n v="9465740756"/>
    <s v="learner060@example.com"/>
    <s v="Resume format doesn't work for startup applications. Too formal for young companies, but changing format affects ATS performance at large corporations. || Resolution: Created dual resume strategy for different TCS types"/>
    <x v="2"/>
    <x v="3"/>
    <n v="7"/>
    <x v="1"/>
    <s v="Solved"/>
    <n v="262.86305555555737"/>
    <n v="10.95"/>
    <x v="4"/>
    <s v="STATUS-COMPLETE"/>
    <x v="1"/>
  </r>
  <r>
    <x v="146"/>
    <n v="45902"/>
    <n v="0.45701388888888889"/>
    <x v="1"/>
    <x v="5"/>
    <n v="2"/>
    <n v="3"/>
    <s v="10 - 11 hr"/>
    <x v="2"/>
    <m/>
    <m/>
    <s v="Counselling Team - NPS"/>
    <x v="0"/>
    <x v="1"/>
    <n v="7639509845"/>
    <s v="learner138@example.com"/>
    <s v="Mike Wilson uses outdated examples in Machine Learning classes. Still teaching scikit-learn 0.22 syntax when industry uses 1.3+. Students struggle with modern ML libraries. || Resolution: Updated all code examples to latest library versions"/>
    <x v="0"/>
    <x v="10"/>
    <n v="4"/>
    <x v="0"/>
    <s v="In Progress"/>
    <s v="Issue_pending"/>
    <s v="Issue_pending"/>
    <x v="0"/>
    <n v="27"/>
    <x v="0"/>
  </r>
  <r>
    <x v="147"/>
    <n v="45903"/>
    <n v="0.69621527777777781"/>
    <x v="1"/>
    <x v="5"/>
    <n v="3"/>
    <n v="4"/>
    <s v="16 - 17 hr"/>
    <x v="2"/>
    <n v="45912"/>
    <n v="0.54090277777777773"/>
    <s v="Counselling Team - NPS"/>
    <x v="0"/>
    <x v="0"/>
    <n v="9557448229"/>
    <s v="learner007@example.com"/>
    <s v="Told course would take 6 months but curriculum actually requires 10+ months for completion. Time commitment significantly underestimated. || Resolution: Updated course duration estimates and provided realistic timeline planning"/>
    <x v="2"/>
    <x v="0"/>
    <n v="9"/>
    <x v="1"/>
    <s v="Solved"/>
    <n v="212.27250000002095"/>
    <n v="8.84"/>
    <x v="4"/>
    <s v="STATUS-COMPLETE"/>
    <x v="1"/>
  </r>
  <r>
    <x v="148"/>
    <n v="45903"/>
    <n v="0.50101851851851853"/>
    <x v="1"/>
    <x v="5"/>
    <n v="3"/>
    <n v="4"/>
    <s v="12 - 13 hr"/>
    <x v="8"/>
    <n v="45913"/>
    <n v="0.63185185185185189"/>
    <s v="Counselling Team - NPS"/>
    <x v="0"/>
    <x v="1"/>
    <n v="8798647685"/>
    <s v="learner108@example.com"/>
    <s v="Assigned mentor Priya Sharma unresponsive to career queries for 3+ weeks. Sent 7 messages about transitioning from manual testing to automation but zero replies. || Resolution: Reassigned to senior automation mentor and implemented response time SLA"/>
    <x v="3"/>
    <x v="9"/>
    <n v="5"/>
    <x v="1"/>
    <s v="Solved"/>
    <n v="243.14000000007218"/>
    <n v="10.130000000000001"/>
    <x v="4"/>
    <s v="STATUS-COMPLETE"/>
    <x v="1"/>
  </r>
  <r>
    <x v="149"/>
    <n v="45903"/>
    <n v="0.84164351851851849"/>
    <x v="1"/>
    <x v="5"/>
    <n v="3"/>
    <n v="4"/>
    <s v="20 - 21 hr"/>
    <x v="8"/>
    <n v="45909"/>
    <n v="0.75892361111111106"/>
    <s v="Counselling Team - NPS"/>
    <x v="0"/>
    <x v="1"/>
    <n v="7255790920"/>
    <s v="learner202@example.com"/>
    <s v="Priya Patel rushes through Python concepts without checking student understanding. Covers list comprehensions, decorators, and generators in single session. No time for practice exercises. || Resolution: Restructured curriculum to allocate more time per concept"/>
    <x v="3"/>
    <x v="10"/>
    <n v="6"/>
    <x v="1"/>
    <s v="Solved"/>
    <n v="142.01472222211305"/>
    <n v="5.92"/>
    <x v="3"/>
    <s v="STATUS-COMPLETE"/>
    <x v="1"/>
  </r>
  <r>
    <x v="150"/>
    <n v="45903"/>
    <n v="0.4346875"/>
    <x v="1"/>
    <x v="5"/>
    <n v="3"/>
    <n v="4"/>
    <s v="10 - 11 hr"/>
    <x v="9"/>
    <n v="45912"/>
    <n v="0.69231481481481483"/>
    <s v="Counselling Team - NPS"/>
    <x v="0"/>
    <x v="0"/>
    <n v="9156509381"/>
    <s v="learner214@example.com"/>
    <s v="Sales promised 100% job guarantee within 6 months but placement team says no such commitment exists. Feel misled about course outcomes. || Resolution: Clarified placement support terms and provided additional career assistance"/>
    <x v="3"/>
    <x v="0"/>
    <n v="1"/>
    <x v="1"/>
    <s v="Solved"/>
    <n v="222.18305555556435"/>
    <n v="9.26"/>
    <x v="4"/>
    <s v="STATUS-COMPLETE"/>
    <x v="1"/>
  </r>
  <r>
    <x v="151"/>
    <n v="45904"/>
    <n v="0.5122106481481481"/>
    <x v="1"/>
    <x v="5"/>
    <n v="4"/>
    <n v="5"/>
    <s v="12 - 13 hr"/>
    <x v="5"/>
    <n v="45905"/>
    <n v="0.52318287037037037"/>
    <s v="Counselling Team - NPS"/>
    <x v="0"/>
    <x v="0"/>
    <n v="8237075775"/>
    <s v="learner033@example.com"/>
    <s v="Told course would take 6 months but curriculum actually requires 10+ months for completion. Time commitment significantly underestimated. || Resolution: Updated course duration estimates and provided realistic timeline planning"/>
    <x v="0"/>
    <x v="0"/>
    <n v="8"/>
    <x v="1"/>
    <s v="Solved"/>
    <n v="24.263333333248738"/>
    <n v="1.01"/>
    <x v="1"/>
    <s v="STATUS-COMPLETE"/>
    <x v="1"/>
  </r>
  <r>
    <x v="152"/>
    <n v="45904"/>
    <n v="0.6970601851851852"/>
    <x v="1"/>
    <x v="5"/>
    <n v="4"/>
    <n v="5"/>
    <s v="16 - 17 hr"/>
    <x v="2"/>
    <n v="45907"/>
    <n v="0.53680555555555554"/>
    <s v="Counselling Team - NPS"/>
    <x v="0"/>
    <x v="1"/>
    <n v="8821616017"/>
    <s v="learner125@example.com"/>
    <s v="System Design course only teaches monolithic patterns. Microservices, event-driven architecture, and serverless barely mentioned. Need cloud-native design patterns. || Resolution: Expanding curriculum with 40 hours of distributed systems content"/>
    <x v="2"/>
    <x v="13"/>
    <n v="3"/>
    <x v="1"/>
    <s v="Solved"/>
    <n v="68.153888888948131"/>
    <n v="2.84"/>
    <x v="1"/>
    <s v="STATUS-COMPLETE"/>
    <x v="1"/>
  </r>
  <r>
    <x v="153"/>
    <n v="45905"/>
    <n v="0.57822916666666668"/>
    <x v="1"/>
    <x v="5"/>
    <n v="5"/>
    <n v="6"/>
    <s v="13 - 14 hr"/>
    <x v="0"/>
    <n v="45914"/>
    <n v="0.54472222222222222"/>
    <s v="Counselling Team - NPS"/>
    <x v="0"/>
    <x v="2"/>
    <n v="7510289448"/>
    <s v="learner104@example.com"/>
    <s v="Confused between Data Science and Machine Learning Engineer paths. Course covers both but unclear about day-to-day responsibilities and career progression in each field. || Resolution: Arranged informational interviews with professionals in both roles"/>
    <x v="0"/>
    <x v="2"/>
    <n v="2"/>
    <x v="1"/>
    <s v="Solved"/>
    <n v="215.19583333324408"/>
    <n v="8.9700000000000006"/>
    <x v="4"/>
    <s v="STATUS-COMPLETE"/>
    <x v="1"/>
  </r>
  <r>
    <x v="154"/>
    <n v="45905"/>
    <n v="0.64724537037037033"/>
    <x v="1"/>
    <x v="5"/>
    <n v="5"/>
    <n v="6"/>
    <s v="15 - 16 hr"/>
    <x v="9"/>
    <m/>
    <m/>
    <s v="Counselling Team - NPS"/>
    <x v="0"/>
    <x v="0"/>
    <n v="7167134213"/>
    <s v="learner105@example.com"/>
    <s v="Weekend AIML sessions run 5 hours straight (10 AM - 3 PM) without proper breaks. Exhausting for working parents with family commitments on weekends. || Resolution: Restructured to 3-hour sessions with 30-minute breaks every 90 minutes"/>
    <x v="3"/>
    <x v="11"/>
    <n v="6"/>
    <x v="0"/>
    <s v="Awaiting Action - Scaler"/>
    <s v="Issue_pending"/>
    <s v="Issue_pending"/>
    <x v="0"/>
    <n v="24"/>
    <x v="0"/>
  </r>
  <r>
    <x v="155"/>
    <n v="45905"/>
    <n v="0.46690972222222221"/>
    <x v="1"/>
    <x v="5"/>
    <n v="5"/>
    <n v="6"/>
    <s v="11 - 12 hr"/>
    <x v="1"/>
    <m/>
    <m/>
    <s v="Counselling Team - NPS"/>
    <x v="0"/>
    <x v="2"/>
    <n v="8631399401"/>
    <s v="learner134@example.com"/>
    <s v="Previous employment gap of 3 years due to child care responsibilities creates placement barrier. Returning mothers face additional discrimination. || Resolution: Partnered with diversity-focused companies supporting career restart initiatives"/>
    <x v="0"/>
    <x v="7"/>
    <n v="2"/>
    <x v="0"/>
    <s v="In Progress"/>
    <s v="Issue_pending"/>
    <s v="Issue_pending"/>
    <x v="0"/>
    <n v="24"/>
    <x v="0"/>
  </r>
  <r>
    <x v="156"/>
    <n v="45907"/>
    <n v="0.53626157407407404"/>
    <x v="1"/>
    <x v="6"/>
    <n v="7"/>
    <n v="1"/>
    <s v="12 - 13 hr"/>
    <x v="9"/>
    <n v="45919"/>
    <n v="0.77809027777777773"/>
    <s v="Counselling Team - NPS"/>
    <x v="0"/>
    <x v="1"/>
    <n v="9448450685"/>
    <s v="learner166@example.com"/>
    <s v="No downloadable notes provided for complex topics. Difficult to review mathematical formulas and algorithms without written reference material. || Resolution: Created comprehensive downloadable study guides for all modules"/>
    <x v="3"/>
    <x v="8"/>
    <n v="2"/>
    <x v="1"/>
    <s v="Solved"/>
    <n v="293.80388888897141"/>
    <n v="12.24"/>
    <x v="4"/>
    <s v="STATUS-COMPLETE"/>
    <x v="1"/>
  </r>
  <r>
    <x v="157"/>
    <n v="45907"/>
    <n v="0.50415509259259261"/>
    <x v="1"/>
    <x v="6"/>
    <n v="7"/>
    <n v="1"/>
    <s v="12 - 13 hr"/>
    <x v="4"/>
    <n v="45918"/>
    <n v="0.43037037037037035"/>
    <s v="Counselling Team - NPS"/>
    <x v="0"/>
    <x v="2"/>
    <n v="7498158588"/>
    <s v="learner181@example.com"/>
    <s v="Sales promised 100% job guarantee within 6 months but placement team says no such commitment exists. Feel misled about course outcomes. || Resolution: Clarified placement support terms and provided additional career assistance"/>
    <x v="0"/>
    <x v="0"/>
    <n v="1"/>
    <x v="1"/>
    <s v="Solved"/>
    <n v="262.22916666656965"/>
    <n v="10.93"/>
    <x v="4"/>
    <s v="STATUS-COMPLETE"/>
    <x v="1"/>
  </r>
  <r>
    <x v="158"/>
    <n v="45908"/>
    <n v="0.58028935185185182"/>
    <x v="1"/>
    <x v="6"/>
    <n v="8"/>
    <n v="2"/>
    <s v="13 - 14 hr"/>
    <x v="4"/>
    <n v="45918"/>
    <n v="0.53440972222222227"/>
    <s v="Counselling Team - NPS"/>
    <x v="0"/>
    <x v="0"/>
    <n v="8311598149"/>
    <s v="learner026@example.com"/>
    <s v="Mentor Amit Patel provides only generic advice like 'practice more coding'. Asked specific questions about Google interview process but got template responses. || Resolution: Connected with mentor who recently joined FAANG Uber"/>
    <x v="0"/>
    <x v="9"/>
    <n v="7"/>
    <x v="1"/>
    <s v="Solved"/>
    <n v="238.89888888888527"/>
    <n v="9.9499999999999993"/>
    <x v="4"/>
    <s v="STATUS-COMPLETE"/>
    <x v="1"/>
  </r>
  <r>
    <x v="159"/>
    <n v="45908"/>
    <n v="0.70873842592592595"/>
    <x v="1"/>
    <x v="6"/>
    <n v="8"/>
    <n v="2"/>
    <s v="17 - 18 hr"/>
    <x v="4"/>
    <m/>
    <m/>
    <s v="Counselling Team - NPS"/>
    <x v="0"/>
    <x v="3"/>
    <n v="7400330495"/>
    <s v="learner034@example.com"/>
    <s v="No specialized TA support for advanced topics like deep learning, cloud architecture, or system design. Generic responses for complex domain questions. || Resolution: Hired subject matter expert TAs for specialized technical support"/>
    <x v="3"/>
    <x v="5"/>
    <n v="7"/>
    <x v="0"/>
    <s v="In Progress"/>
    <s v="Issue_pending"/>
    <s v="Issue_pending"/>
    <x v="0"/>
    <n v="21"/>
    <x v="0"/>
  </r>
  <r>
    <x v="160"/>
    <n v="45908"/>
    <n v="0.60791666666666666"/>
    <x v="1"/>
    <x v="6"/>
    <n v="8"/>
    <n v="2"/>
    <s v="14 - 15 hr"/>
    <x v="4"/>
    <n v="45914"/>
    <n v="0.40297453703703706"/>
    <s v="Counselling Team - NPS"/>
    <x v="0"/>
    <x v="0"/>
    <n v="7797737957"/>
    <s v="learner144@example.com"/>
    <s v="Mentor Amit Patel provides only generic advice like 'practice more coding'. Asked specific questions about Google interview process but got template responses. || Resolution: Connected with mentor who recently joined FAANG PayTM"/>
    <x v="0"/>
    <x v="9"/>
    <n v="2"/>
    <x v="1"/>
    <s v="Solved"/>
    <n v="139.0813888888224"/>
    <n v="5.8"/>
    <x v="3"/>
    <s v="STATUS-COMPLETE"/>
    <x v="1"/>
  </r>
  <r>
    <x v="161"/>
    <n v="45908"/>
    <n v="0.79905092592592597"/>
    <x v="1"/>
    <x v="6"/>
    <n v="8"/>
    <n v="2"/>
    <s v="19 - 20 hr"/>
    <x v="4"/>
    <m/>
    <m/>
    <s v="Counselling Team - NPS"/>
    <x v="0"/>
    <x v="0"/>
    <n v="7674755608"/>
    <s v="learner209@example.com"/>
    <s v="Weekend AIML sessions run 5 hours straight (10 AM - 3 PM) without proper breaks. Exhausting for working parents with family commitments on weekends. || Resolution: Restructured to 3-hour sessions with 30-minute breaks every 90 minutes"/>
    <x v="2"/>
    <x v="11"/>
    <n v="7"/>
    <x v="0"/>
    <s v="Awaiting Action - Learner"/>
    <s v="Issue_pending"/>
    <s v="Issue_pending"/>
    <x v="0"/>
    <n v="21"/>
    <x v="0"/>
  </r>
  <r>
    <x v="162"/>
    <n v="45909"/>
    <n v="0.57277777777777783"/>
    <x v="1"/>
    <x v="6"/>
    <n v="9"/>
    <n v="3"/>
    <s v="13 - 14 hr"/>
    <x v="3"/>
    <n v="45918"/>
    <n v="0.40207175925925925"/>
    <s v="Counselling Team - NPS"/>
    <x v="0"/>
    <x v="1"/>
    <n v="8459535801"/>
    <s v="learner061@example.com"/>
    <s v="Resume feedback too generic. Mentor suggests 'add more projects' without specific guidance on what types of projects or how to showcase impact. || Resolution: Provided mentor training on detailed resume optimization techniques"/>
    <x v="1"/>
    <x v="9"/>
    <n v="6"/>
    <x v="1"/>
    <s v="Solved"/>
    <n v="211.9030555554782"/>
    <n v="8.83"/>
    <x v="4"/>
    <s v="STATUS-COMPLETE"/>
    <x v="1"/>
  </r>
  <r>
    <x v="163"/>
    <n v="45909"/>
    <n v="0.77861111111111114"/>
    <x v="1"/>
    <x v="6"/>
    <n v="9"/>
    <n v="3"/>
    <s v="18 - 19 hr"/>
    <x v="8"/>
    <n v="45916"/>
    <n v="0.69276620370370368"/>
    <s v="Counselling Team - NPS"/>
    <x v="0"/>
    <x v="1"/>
    <n v="9598480273"/>
    <s v="learner071@example.com"/>
    <s v="Instructor Mike Rodriguez Rajesh Kumar in AIML Jul25 Academy Jul25 Intermediate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
    <x v="2"/>
    <x v="10"/>
    <n v="2"/>
    <x v="1"/>
    <s v="Solved"/>
    <n v="165.93972222221782"/>
    <n v="6.91"/>
    <x v="3"/>
    <s v="STATUS-COMPLETE"/>
    <x v="1"/>
  </r>
  <r>
    <x v="164"/>
    <n v="45910"/>
    <n v="0.42224537037037035"/>
    <x v="1"/>
    <x v="6"/>
    <n v="10"/>
    <n v="4"/>
    <s v="10 - 11 hr"/>
    <x v="9"/>
    <m/>
    <m/>
    <s v="Counselling Team - NPS"/>
    <x v="0"/>
    <x v="1"/>
    <n v="8307235909"/>
    <s v="learner049@example.com"/>
    <s v="Lisa Rodriguez speaks too softly during System Design sessions. Students in back rows can't hear database scaling explanations. Room acoustics poor for 150+ student Academy Jul25 Intermediate. || Resolution: Upgraded classroom sound system and reduced Academy Jul25 Intermediate size"/>
    <x v="1"/>
    <x v="10"/>
    <n v="5"/>
    <x v="0"/>
    <s v="In Progress"/>
    <s v="Issue_pending"/>
    <s v="Issue_pending"/>
    <x v="0"/>
    <n v="19"/>
    <x v="2"/>
  </r>
  <r>
    <x v="165"/>
    <n v="45910"/>
    <n v="0.71480324074074075"/>
    <x v="1"/>
    <x v="6"/>
    <n v="10"/>
    <n v="4"/>
    <s v="17 - 18 hr"/>
    <x v="5"/>
    <n v="45913"/>
    <n v="0.64789351851851851"/>
    <s v="Counselling Team - NPS"/>
    <x v="0"/>
    <x v="1"/>
    <n v="7695642802"/>
    <s v="learner096@example.com"/>
    <s v="Audio-video sync issues during recorded playback. Instructor Priya Patel's voice doesn't match lip movement by 2-3 seconds. Distracting during learning. || Resolution: Fixed encoding pipeline and re-processed affected recordings"/>
    <x v="2"/>
    <x v="12"/>
    <n v="6"/>
    <x v="1"/>
    <s v="Solved"/>
    <n v="70.394166666548699"/>
    <n v="2.93"/>
    <x v="1"/>
    <s v="STATUS-COMPLETE"/>
    <x v="1"/>
  </r>
  <r>
    <x v="166"/>
    <n v="45910"/>
    <n v="0.53600694444444441"/>
    <x v="1"/>
    <x v="6"/>
    <n v="10"/>
    <n v="4"/>
    <s v="12 - 13 hr"/>
    <x v="4"/>
    <n v="45921"/>
    <n v="0.72130787037037036"/>
    <s v="Counselling Team - NPS"/>
    <x v="0"/>
    <x v="1"/>
    <n v="8277468755"/>
    <s v="learner099@example.com"/>
    <s v="Screen sharing resolution too low during coding sessions. Can't read code examples on mobile device. Zoom compression makes text blurry. || Resolution: Upgraded streaming quality to 1080p and optimized for mobile viewing"/>
    <x v="1"/>
    <x v="12"/>
    <n v="6"/>
    <x v="1"/>
    <s v="Solved"/>
    <n v="268.44722222228302"/>
    <n v="11.19"/>
    <x v="4"/>
    <s v="STATUS-COMPLETE"/>
    <x v="1"/>
  </r>
  <r>
    <x v="167"/>
    <n v="45910"/>
    <n v="0.76902777777777775"/>
    <x v="1"/>
    <x v="6"/>
    <n v="10"/>
    <n v="4"/>
    <s v="18 - 19 hr"/>
    <x v="9"/>
    <n v="45921"/>
    <n v="0.6423726851851852"/>
    <s v="Counselling Team - NPS"/>
    <x v="0"/>
    <x v="2"/>
    <n v="7922542252"/>
    <s v="learner158@example.com"/>
    <s v="Contract/freelance offers available but seeking permanent positions with benefits and job security. Market seems tilted toward gig work. || Resolution: Targeted Microsoft outreach focusing on full-time opportunity pipeline"/>
    <x v="3"/>
    <x v="4"/>
    <n v="5"/>
    <x v="1"/>
    <s v="Solved"/>
    <n v="260.96027777774725"/>
    <n v="10.87"/>
    <x v="4"/>
    <s v="STATUS-COMPLETE"/>
    <x v="1"/>
  </r>
  <r>
    <x v="168"/>
    <n v="45911"/>
    <n v="0.52276620370370375"/>
    <x v="1"/>
    <x v="6"/>
    <n v="11"/>
    <n v="5"/>
    <s v="12 - 13 hr"/>
    <x v="2"/>
    <n v="45917"/>
    <n v="0.62916666666666665"/>
    <s v="Counselling Team - NPS"/>
    <x v="0"/>
    <x v="1"/>
    <n v="9396563469"/>
    <s v="learner154@example.com"/>
    <s v="Screen sharing resolution too low during coding sessions. Can't read code examples on mobile device. Zoom compression makes text blurry. || Resolution: Upgraded streaming quality to 1080p and optimized for mobile viewing"/>
    <x v="2"/>
    <x v="12"/>
    <n v="2"/>
    <x v="1"/>
    <s v="Solved"/>
    <n v="146.55361111101229"/>
    <n v="6.11"/>
    <x v="3"/>
    <s v="STATUS-COMPLETE"/>
    <x v="1"/>
  </r>
  <r>
    <x v="169"/>
    <n v="45911"/>
    <n v="0.52335648148148151"/>
    <x v="1"/>
    <x v="6"/>
    <n v="11"/>
    <n v="5"/>
    <s v="12 - 13 hr"/>
    <x v="2"/>
    <n v="45920"/>
    <n v="0.77692129629629625"/>
    <s v="Counselling Team - NPS"/>
    <x v="0"/>
    <x v="1"/>
    <n v="7810230640"/>
    <s v="learner177@example.com"/>
    <s v="No code review feedback provided for assignments. Submitting working solutions but don't know if following best practices or industry standards. || Resolution: Introduced mandatory code review sessions with senior developers"/>
    <x v="1"/>
    <x v="6"/>
    <n v="3"/>
    <x v="1"/>
    <s v="Solved"/>
    <n v="222.08555555547355"/>
    <n v="9.25"/>
    <x v="4"/>
    <s v="STATUS-COMPLETE"/>
    <x v="1"/>
  </r>
  <r>
    <x v="170"/>
    <n v="45912"/>
    <n v="0.60120370370370368"/>
    <x v="1"/>
    <x v="6"/>
    <n v="12"/>
    <n v="6"/>
    <s v="14 - 15 hr"/>
    <x v="3"/>
    <m/>
    <m/>
    <s v="Counselling Team - NPS"/>
    <x v="0"/>
    <x v="3"/>
    <n v="9381183483"/>
    <s v="learner003@example.com"/>
    <s v="Assignment datasets have data quality issues but no guidance on how to handle missing values, outliers, or inconsistent formats professionally. || Resolution: Created data cleaning tutorial series and best practices documentation"/>
    <x v="1"/>
    <x v="6"/>
    <n v="6"/>
    <x v="0"/>
    <s v="In Progress"/>
    <s v="Issue_pending"/>
    <s v="Issue_pending"/>
    <x v="0"/>
    <n v="17"/>
    <x v="2"/>
  </r>
  <r>
    <x v="171"/>
    <n v="45912"/>
    <n v="0.64538194444444441"/>
    <x v="1"/>
    <x v="6"/>
    <n v="12"/>
    <n v="6"/>
    <s v="15 - 16 hr"/>
    <x v="5"/>
    <n v="45915"/>
    <n v="0.3790162037037037"/>
    <s v="Counselling Team - NPS"/>
    <x v="0"/>
    <x v="2"/>
    <n v="8589365925"/>
    <s v="learner062@example.com"/>
    <s v="Confused between Data Science and Machine Learning Engineer paths. Course covers both but unclear about day-to-day responsibilities and career progression in each field. || Resolution: Arranged informational interviews with professionals in both roles"/>
    <x v="3"/>
    <x v="2"/>
    <n v="3"/>
    <x v="1"/>
    <s v="Solved"/>
    <n v="65.607222222257406"/>
    <n v="2.73"/>
    <x v="1"/>
    <s v="STATUS-COMPLETE"/>
    <x v="1"/>
  </r>
  <r>
    <x v="172"/>
    <n v="45912"/>
    <n v="0.78130787037037042"/>
    <x v="1"/>
    <x v="6"/>
    <n v="12"/>
    <n v="6"/>
    <s v="18 - 19 hr"/>
    <x v="3"/>
    <n v="45918"/>
    <n v="0.57064814814814813"/>
    <s v="Counselling Team - NPS"/>
    <x v="0"/>
    <x v="2"/>
    <n v="9400552009"/>
    <s v="learner074@example.com"/>
    <s v="Resume highlighting DSML completion not attracting ML Engineer positions. Only getting data entry or analyst roles below skill level and salary expectations. || Resolution: Added ML portfolio projects and technical blog writing to demonstrate expertise"/>
    <x v="0"/>
    <x v="3"/>
    <n v="8"/>
    <x v="1"/>
    <s v="Solved"/>
    <n v="138.94416666665347"/>
    <n v="5.79"/>
    <x v="3"/>
    <s v="STATUS-COMPLETE"/>
    <x v="1"/>
  </r>
  <r>
    <x v="173"/>
    <n v="45912"/>
    <n v="0.7298958333333333"/>
    <x v="1"/>
    <x v="6"/>
    <n v="12"/>
    <n v="6"/>
    <s v="17 - 18 hr"/>
    <x v="8"/>
    <n v="45919"/>
    <n v="0.55350694444444448"/>
    <s v="Counselling Team - NPS"/>
    <x v="0"/>
    <x v="2"/>
    <n v="9763021449"/>
    <s v="learner128@example.com"/>
    <s v="Want to pursue management track vs staying technical. Currently team lead but unsure about MBA requirements and career progression options. || Resolution: Arranged sessions with both technical architects and engineering managers"/>
    <x v="3"/>
    <x v="2"/>
    <n v="8"/>
    <x v="1"/>
    <s v="Solved"/>
    <n v="163.76666666666279"/>
    <n v="6.82"/>
    <x v="3"/>
    <s v="STATUS-COMPLETE"/>
    <x v="1"/>
  </r>
  <r>
    <x v="174"/>
    <n v="45912"/>
    <n v="0.83958333333333335"/>
    <x v="1"/>
    <x v="6"/>
    <n v="12"/>
    <n v="6"/>
    <s v="20 - 21 hr"/>
    <x v="1"/>
    <n v="45913"/>
    <n v="0.63116898148148148"/>
    <s v="Counselling Team - NPS"/>
    <x v="0"/>
    <x v="2"/>
    <n v="7790479137"/>
    <s v="learner136@example.com"/>
    <s v="Appearing for interviews but consistently failing in system design rounds. Completed course but still struggle with scalability and architecture questions. || Resolution: Arranged advanced system design workshops with industry architects"/>
    <x v="3"/>
    <x v="4"/>
    <n v="6"/>
    <x v="1"/>
    <s v="Solved"/>
    <n v="18.99805555556668"/>
    <n v="0.79"/>
    <x v="1"/>
    <s v="STATUS-COMPLETE"/>
    <x v="1"/>
  </r>
  <r>
    <x v="175"/>
    <n v="45912"/>
    <n v="0.39901620370370372"/>
    <x v="1"/>
    <x v="6"/>
    <n v="12"/>
    <n v="6"/>
    <s v="9 - 10 hr"/>
    <x v="4"/>
    <m/>
    <m/>
    <s v="Counselling Team - NPS"/>
    <x v="0"/>
    <x v="3"/>
    <n v="7050899550"/>
    <s v="learner137@example.com"/>
    <s v="Language barrier with some TAs makes doubt sessions ineffective. Accent and communication style difficult to understand during technical explanations. || Resolution: Provided communication training and paired TAs with complementary strengths"/>
    <x v="0"/>
    <x v="5"/>
    <n v="7"/>
    <x v="0"/>
    <s v="Awaiting Action - Learner"/>
    <s v="Issue_pending"/>
    <s v="Issue_pending"/>
    <x v="0"/>
    <n v="17"/>
    <x v="2"/>
  </r>
  <r>
    <x v="176"/>
    <n v="45912"/>
    <n v="0.68232638888888886"/>
    <x v="1"/>
    <x v="6"/>
    <n v="12"/>
    <n v="6"/>
    <s v="16 - 17 hr"/>
    <x v="2"/>
    <n v="45914"/>
    <n v="0.40634259259259259"/>
    <s v="Counselling Team - NPS"/>
    <x v="0"/>
    <x v="3"/>
    <n v="8113457241"/>
    <s v="learner182@example.com"/>
    <s v="TA Rohit takes 2-3 days to respond to doubt resolution requests. Critical errors in assignments go unresolved, affecting submission deadlines. || Resolution: Implemented 24-hour response SLA for TAs and hired additional support staff"/>
    <x v="2"/>
    <x v="5"/>
    <n v="6"/>
    <x v="1"/>
    <s v="Solved"/>
    <n v="41.37638888892252"/>
    <n v="1.72"/>
    <x v="1"/>
    <s v="STATUS-COMPLETE"/>
    <x v="1"/>
  </r>
  <r>
    <x v="177"/>
    <n v="45913"/>
    <n v="0.38840277777777776"/>
    <x v="1"/>
    <x v="6"/>
    <n v="13"/>
    <n v="7"/>
    <s v="9 - 10 hr"/>
    <x v="1"/>
    <n v="45916"/>
    <n v="0.77521990740740743"/>
    <s v="Counselling Team - NPS"/>
    <x v="0"/>
    <x v="0"/>
    <n v="8846355528"/>
    <s v="learner004@example.com"/>
    <s v="Live sessions scheduled during US client calls for IT professionals. 2-6 PM IST overlaps with standup meetings and client presentations. Need flexible timing. || Resolution: Added recorded session options and weekend makeup classes"/>
    <x v="0"/>
    <x v="11"/>
    <n v="1"/>
    <x v="1"/>
    <s v="Solved"/>
    <n v="81.283611111226492"/>
    <n v="3.39"/>
    <x v="1"/>
    <s v="STATUS-COMPLETE"/>
    <x v="1"/>
  </r>
  <r>
    <x v="178"/>
    <n v="45913"/>
    <n v="0.53008101851851852"/>
    <x v="1"/>
    <x v="6"/>
    <n v="13"/>
    <n v="7"/>
    <s v="12 - 13 hr"/>
    <x v="1"/>
    <n v="45921"/>
    <n v="0.48755787037037035"/>
    <s v="Counselling Team - NPS"/>
    <x v="0"/>
    <x v="3"/>
    <n v="7855256552"/>
    <s v="learner005@example.com"/>
    <s v="Told course would take 6 months but curriculum actually requires 10+ months for completion. Time commitment significantly underestimated. || Resolution: Updated course duration estimates and provided realistic timeline planning"/>
    <x v="1"/>
    <x v="0"/>
    <n v="8"/>
    <x v="1"/>
    <s v="Solved"/>
    <n v="190.97944444441237"/>
    <n v="7.96"/>
    <x v="3"/>
    <s v="STATUS-COMPLETE"/>
    <x v="1"/>
  </r>
  <r>
    <x v="179"/>
    <n v="45913"/>
    <n v="0.46128472222222222"/>
    <x v="1"/>
    <x v="6"/>
    <n v="13"/>
    <n v="7"/>
    <s v="11 - 12 hr"/>
    <x v="8"/>
    <n v="45914"/>
    <n v="0.49627314814814816"/>
    <s v="Counselling Team - NPS"/>
    <x v="0"/>
    <x v="1"/>
    <n v="8555424924"/>
    <s v="learner090@example.com"/>
    <s v="Audio-video sync issues during recorded playback. Instructor Mike Rodriguez's voice doesn't match lip movement by 2-3 seconds. Distracting during learning. || Resolution: Fixed encoding pipeline and re-processed affected recordings"/>
    <x v="0"/>
    <x v="12"/>
    <n v="7"/>
    <x v="1"/>
    <s v="Solved"/>
    <n v="24.839722222241107"/>
    <n v="1.03"/>
    <x v="1"/>
    <s v="STATUS-COMPLETE"/>
    <x v="1"/>
  </r>
  <r>
    <x v="180"/>
    <n v="45913"/>
    <n v="0.51061342592592596"/>
    <x v="1"/>
    <x v="6"/>
    <n v="13"/>
    <n v="7"/>
    <s v="12 - 13 hr"/>
    <x v="2"/>
    <m/>
    <m/>
    <s v="Counselling Team - NPS"/>
    <x v="0"/>
    <x v="0"/>
    <n v="8282044148"/>
    <s v="learner110@example.com"/>
    <s v="Holiday classes scheduled during Diwali week without considering festival commitments. Attendance drops to 30% affecting DevOps Aug25 momentum. || Resolution: Rescheduled holiday periods and created festival-friendly calendar"/>
    <x v="1"/>
    <x v="11"/>
    <n v="9"/>
    <x v="0"/>
    <s v="In Progress"/>
    <s v="Issue_pending"/>
    <s v="Issue_pending"/>
    <x v="0"/>
    <n v="16"/>
    <x v="2"/>
  </r>
  <r>
    <x v="181"/>
    <n v="45913"/>
    <n v="0.4906712962962963"/>
    <x v="1"/>
    <x v="6"/>
    <n v="13"/>
    <n v="7"/>
    <s v="11 - 12 hr"/>
    <x v="6"/>
    <n v="45921"/>
    <n v="0.68692129629629628"/>
    <s v="Counselling Team - NPS"/>
    <x v="0"/>
    <x v="2"/>
    <n v="7790479137"/>
    <s v="learner135@example.com"/>
    <s v="Previous employment gap of 3 years due to child care responsibilities creates placement barrier. Returning mothers face additional discrimination. || Resolution: Partnered with diversity-focused companies supporting career restart initiatives"/>
    <x v="1"/>
    <x v="7"/>
    <n v="1"/>
    <x v="1"/>
    <s v="Solved"/>
    <n v="196.71000000002095"/>
    <n v="8.1999999999999993"/>
    <x v="4"/>
    <s v="STATUS-COMPLETE"/>
    <x v="1"/>
  </r>
  <r>
    <x v="182"/>
    <n v="45913"/>
    <n v="0.3805439814814815"/>
    <x v="1"/>
    <x v="6"/>
    <n v="13"/>
    <n v="7"/>
    <s v="9 - 10 hr"/>
    <x v="5"/>
    <m/>
    <m/>
    <s v="Counselling Team - NPS"/>
    <x v="0"/>
    <x v="2"/>
    <n v="8895308730"/>
    <s v="learner171@example.com"/>
    <s v="Clearing technical rounds but failing in cultural fit assessments. Companies say not aligned with startup pace or collaborative work style. || Resolution: Added soft skills training and Swiggy culture preparation sessions"/>
    <x v="2"/>
    <x v="4"/>
    <n v="4"/>
    <x v="0"/>
    <s v="Awaiting Action - Scaler"/>
    <s v="Issue_pending"/>
    <s v="Issue_pending"/>
    <x v="0"/>
    <n v="16"/>
    <x v="2"/>
  </r>
  <r>
    <x v="183"/>
    <n v="45913"/>
    <n v="0.79974537037037041"/>
    <x v="1"/>
    <x v="6"/>
    <n v="13"/>
    <n v="7"/>
    <s v="19 - 20 hr"/>
    <x v="9"/>
    <n v="45924"/>
    <n v="0.64723379629629629"/>
    <s v="Counselling Team - NPS"/>
    <x v="0"/>
    <x v="0"/>
    <n v="7961084962"/>
    <s v="learner224@example.com"/>
    <s v="Sales promised 100% job guarantee within 6 months but placement team says no such commitment exists. Feel misled about course outcomes. || Resolution: Clarified placement support terms and provided additional career assistance"/>
    <x v="2"/>
    <x v="0"/>
    <n v="8"/>
    <x v="1"/>
    <s v="Solved"/>
    <n v="260.33972222224111"/>
    <n v="10.85"/>
    <x v="4"/>
    <s v="STATUS-COMPLETE"/>
    <x v="1"/>
  </r>
  <r>
    <x v="184"/>
    <n v="45914"/>
    <n v="0.40020833333333333"/>
    <x v="1"/>
    <x v="7"/>
    <n v="14"/>
    <n v="1"/>
    <s v="9 - 10 hr"/>
    <x v="6"/>
    <m/>
    <m/>
    <s v="Counselling Team - NPS"/>
    <x v="0"/>
    <x v="1"/>
    <n v="9056061866"/>
    <s v="learner024@example.com"/>
    <s v="Weekend DevOps Jul25 timing (10 AM - 2 PM) conflicts with family time. Children's activities and household responsibilities suffer due to class schedule. || Resolution: Created flexible weekend options with shorter session formats"/>
    <x v="0"/>
    <x v="1"/>
    <n v="2"/>
    <x v="0"/>
    <s v="In Progress"/>
    <s v="Issue_pending"/>
    <s v="Issue_pending"/>
    <x v="0"/>
    <n v="15"/>
    <x v="2"/>
  </r>
  <r>
    <x v="185"/>
    <n v="45914"/>
    <n v="0.43074074074074076"/>
    <x v="1"/>
    <x v="7"/>
    <n v="14"/>
    <n v="1"/>
    <s v="10 - 11 hr"/>
    <x v="8"/>
    <m/>
    <m/>
    <s v="Counselling Team - NPS"/>
    <x v="0"/>
    <x v="2"/>
    <n v="7497879474"/>
    <s v="learner032@example.com"/>
    <s v="Want to transition from service-based to product companies but don't understand cultural and technical differences. Need guidance on preparation strategy. || Resolution: Connected with mentor who made similar transition and provided Amazon-specific prep"/>
    <x v="2"/>
    <x v="2"/>
    <n v="7"/>
    <x v="1"/>
    <s v="Solved"/>
    <s v="Issue_solved_date_absent"/>
    <s v="Issue_solved_date_absent"/>
    <x v="2"/>
    <s v="STATUS-COMPLETE"/>
    <x v="1"/>
  </r>
  <r>
    <x v="186"/>
    <n v="45914"/>
    <n v="0.78025462962962966"/>
    <x v="1"/>
    <x v="7"/>
    <n v="14"/>
    <n v="1"/>
    <s v="18 - 19 hr"/>
    <x v="4"/>
    <n v="45920"/>
    <n v="0.68234953703703705"/>
    <s v="Counselling Team - NPS"/>
    <x v="0"/>
    <x v="3"/>
    <n v="8694503971"/>
    <s v="learner111@example.com"/>
    <s v="Career guidance sessions focus only on technical skills. No discussion about salary negotiation, Ola culture fit, or work-life balance considerations. || Resolution: Introduced holistic career coaching covering all professional aspects"/>
    <x v="1"/>
    <x v="9"/>
    <n v="1"/>
    <x v="1"/>
    <s v="Solved"/>
    <n v="141.65027777769137"/>
    <n v="5.9"/>
    <x v="3"/>
    <s v="STATUS-COMPLETE"/>
    <x v="1"/>
  </r>
  <r>
    <x v="187"/>
    <n v="45914"/>
    <n v="0.78489583333333335"/>
    <x v="1"/>
    <x v="7"/>
    <n v="14"/>
    <n v="1"/>
    <s v="18 - 19 hr"/>
    <x v="8"/>
    <n v="45920"/>
    <n v="0.47592592592592592"/>
    <s v="Counselling Team - NPS"/>
    <x v="0"/>
    <x v="2"/>
    <n v="8615145225"/>
    <s v="learner150@example.com"/>
    <s v="Placement team requires 2+ years experience but won't help freshers. Catch-22 situation where experience needed for placement but placement needed for experience. || Resolution: Launched fresh graduate placement track with entry-level focused companies"/>
    <x v="1"/>
    <x v="7"/>
    <n v="4"/>
    <x v="1"/>
    <s v="Solved"/>
    <n v="136.58472222212004"/>
    <n v="5.69"/>
    <x v="3"/>
    <s v="STATUS-COMPLETE"/>
    <x v="1"/>
  </r>
  <r>
    <x v="188"/>
    <n v="45914"/>
    <n v="0.52965277777777775"/>
    <x v="1"/>
    <x v="7"/>
    <n v="14"/>
    <n v="1"/>
    <s v="12 - 13 hr"/>
    <x v="8"/>
    <m/>
    <m/>
    <s v="Counselling Team - NPS"/>
    <x v="0"/>
    <x v="2"/>
    <n v="7714418371"/>
    <s v="learner153@example.com"/>
    <s v="Contract/freelance offers available but seeking permanent positions with benefits and job security. Market seems tilted toward gig work. || Resolution: Targeted Infosys outreach focusing on full-time opportunity pipeline"/>
    <x v="2"/>
    <x v="4"/>
    <n v="5"/>
    <x v="0"/>
    <s v="In Progress"/>
    <s v="Issue_pending"/>
    <s v="Issue_pending"/>
    <x v="0"/>
    <n v="15"/>
    <x v="2"/>
  </r>
  <r>
    <x v="189"/>
    <n v="45914"/>
    <n v="0.6787037037037037"/>
    <x v="1"/>
    <x v="7"/>
    <n v="14"/>
    <n v="1"/>
    <s v="16 - 17 hr"/>
    <x v="3"/>
    <n v="45916"/>
    <n v="0.72584490740740737"/>
    <s v="Counselling Team - NPS"/>
    <x v="0"/>
    <x v="1"/>
    <n v="8450647350"/>
    <s v="learner170@example.com"/>
    <s v="No downloadable notes provided for complex topics. Difficult to review mathematical formulas and algorithms without written reference material. || Resolution: Created comprehensive downloadable study guides for all modules"/>
    <x v="0"/>
    <x v="8"/>
    <n v="6"/>
    <x v="1"/>
    <s v="Solved"/>
    <n v="49.131388888810761"/>
    <n v="2.0499999999999998"/>
    <x v="1"/>
    <s v="STATUS-COMPLETE"/>
    <x v="1"/>
  </r>
  <r>
    <x v="190"/>
    <n v="45914"/>
    <n v="0.54966435185185181"/>
    <x v="1"/>
    <x v="7"/>
    <n v="14"/>
    <n v="1"/>
    <s v="13 - 14 hr"/>
    <x v="9"/>
    <n v="45924"/>
    <n v="0.75666666666666671"/>
    <s v="Counselling Team - NPS"/>
    <x v="0"/>
    <x v="0"/>
    <n v="7387652480"/>
    <s v="learner201@example.com"/>
    <s v="Told course would take 6 months but curriculum actually requires 10+ months for completion. Time commitment significantly underestimated. || Resolution: Updated course duration estimates and provided realistic timeline planning"/>
    <x v="3"/>
    <x v="0"/>
    <n v="6"/>
    <x v="1"/>
    <s v="Solved"/>
    <n v="244.96805555565516"/>
    <n v="10.210000000000001"/>
    <x v="4"/>
    <s v="STATUS-COMPLETE"/>
    <x v="1"/>
  </r>
  <r>
    <x v="191"/>
    <n v="45915"/>
    <n v="0.38464120370370369"/>
    <x v="1"/>
    <x v="7"/>
    <n v="15"/>
    <n v="2"/>
    <s v="9 - 10 hr"/>
    <x v="4"/>
    <n v="45922"/>
    <n v="0.63997685185185182"/>
    <s v="Counselling Team - NPS"/>
    <x v="0"/>
    <x v="0"/>
    <n v="8672790155"/>
    <s v="learner010@example.com"/>
    <s v="DevOps AIML Jul25 has 220+ students making doubt sessions chaotic. Individual questions take 15+ minutes to address. Class extends to 4+ hours regularly. || Resolution: Split into 2 parallel AIML Jul25es and assigned dedicated TA support"/>
    <x v="0"/>
    <x v="11"/>
    <n v="6"/>
    <x v="1"/>
    <s v="Solved"/>
    <n v="174.12805555562954"/>
    <n v="7.26"/>
    <x v="3"/>
    <s v="STATUS-COMPLETE"/>
    <x v="1"/>
  </r>
  <r>
    <x v="192"/>
    <n v="45915"/>
    <n v="0.48798611111111112"/>
    <x v="1"/>
    <x v="7"/>
    <n v="15"/>
    <n v="2"/>
    <s v="11 - 12 hr"/>
    <x v="7"/>
    <n v="45922"/>
    <n v="0.40233796296296298"/>
    <s v="Counselling Team - NPS"/>
    <x v="0"/>
    <x v="2"/>
    <n v="9248349034"/>
    <s v="learner083@example.com"/>
    <s v="Appearing for interviews but consistently failing in system design rounds. Completed course but still struggle with scalability and architecture questions. || Resolution: Arranged advanced system design workshops with industry architects"/>
    <x v="3"/>
    <x v="4"/>
    <n v="7"/>
    <x v="1"/>
    <s v="Solved"/>
    <n v="165.94444444449618"/>
    <n v="6.91"/>
    <x v="3"/>
    <s v="STATUS-COMPLETE"/>
    <x v="1"/>
  </r>
  <r>
    <x v="193"/>
    <n v="45915"/>
    <n v="0.76894675925925926"/>
    <x v="1"/>
    <x v="7"/>
    <n v="15"/>
    <n v="2"/>
    <s v="18 - 19 hr"/>
    <x v="9"/>
    <n v="45927"/>
    <n v="0.68226851851851855"/>
    <s v="Counselling Team - NPS"/>
    <x v="0"/>
    <x v="1"/>
    <n v="7322299355"/>
    <s v="learner089@example.com"/>
    <s v="Audio-video sync issues during recorded playback. Instructor Lisa Chen's voice doesn't match lip movement by 2-3 seconds. Distracting during learning. || Resolution: Fixed encoding pipeline and re-processed affected recordings"/>
    <x v="2"/>
    <x v="12"/>
    <n v="6"/>
    <x v="1"/>
    <s v="Solved"/>
    <n v="285.91972222225741"/>
    <n v="11.91"/>
    <x v="4"/>
    <s v="STATUS-COMPLETE"/>
    <x v="1"/>
  </r>
  <r>
    <x v="194"/>
    <n v="45915"/>
    <n v="0.72149305555555554"/>
    <x v="1"/>
    <x v="7"/>
    <n v="15"/>
    <n v="2"/>
    <s v="17 - 18 hr"/>
    <x v="3"/>
    <n v="45917"/>
    <n v="0.61275462962962968"/>
    <s v="Counselling Team - NPS"/>
    <x v="0"/>
    <x v="1"/>
    <n v="7676479877"/>
    <s v="learner093@example.com"/>
    <s v="System Design course only teaches monolithic patterns. Microservices, event-driven architecture, and serverless barely mentioned. Need cloud-native design patterns. || Resolution: Expanding curriculum with 40 hours of distributed systems content"/>
    <x v="2"/>
    <x v="13"/>
    <n v="7"/>
    <x v="1"/>
    <s v="Solved"/>
    <n v="45.390277777682059"/>
    <n v="1.89"/>
    <x v="1"/>
    <s v="STATUS-COMPLETE"/>
    <x v="1"/>
  </r>
  <r>
    <x v="195"/>
    <n v="45915"/>
    <n v="0.817962962962963"/>
    <x v="1"/>
    <x v="7"/>
    <n v="15"/>
    <n v="2"/>
    <s v="19 - 20 hr"/>
    <x v="5"/>
    <m/>
    <m/>
    <s v="Counselling Team - NPS"/>
    <x v="0"/>
    <x v="1"/>
    <n v="8625147377"/>
    <s v="learner204@example.com"/>
    <s v="Evening AIML Jul25 starts at 7 PM when dinner time with family. Work-life balance getting affected due to late learning schedule. || Resolution: Introduced early evening slots (6-8 PM) based on demand"/>
    <x v="1"/>
    <x v="1"/>
    <n v="2"/>
    <x v="0"/>
    <s v="In Progress"/>
    <s v="Issue_pending"/>
    <s v="Issue_pending"/>
    <x v="0"/>
    <n v="14"/>
    <x v="2"/>
  </r>
  <r>
    <x v="196"/>
    <n v="45916"/>
    <n v="0.66164351851851855"/>
    <x v="1"/>
    <x v="7"/>
    <n v="16"/>
    <n v="3"/>
    <s v="15 - 16 hr"/>
    <x v="0"/>
    <n v="45927"/>
    <n v="0.56934027777777774"/>
    <s v="Counselling Team - NPS"/>
    <x v="0"/>
    <x v="2"/>
    <n v="8152750071"/>
    <s v="learner018@example.com"/>
    <s v="Considering career break for higher studies (MS abroad). Need advice on timing, university selection, and maintaining professional network during studies. || Resolution: Provided comprehensive higher education guidance and alumni connections"/>
    <x v="0"/>
    <x v="2"/>
    <n v="2"/>
    <x v="1"/>
    <s v="Solved"/>
    <n v="261.78472222213168"/>
    <n v="10.91"/>
    <x v="4"/>
    <s v="STATUS-COMPLETE"/>
    <x v="1"/>
  </r>
  <r>
    <x v="197"/>
    <n v="45916"/>
    <n v="0.41853009259259261"/>
    <x v="1"/>
    <x v="7"/>
    <n v="16"/>
    <n v="3"/>
    <s v="10 - 11 hr"/>
    <x v="0"/>
    <m/>
    <m/>
    <s v="Counselling Team - NPS"/>
    <x v="0"/>
    <x v="2"/>
    <n v="8136688451"/>
    <s v="learner098@example.com"/>
    <s v="Placement team requires 2+ years experience but won't help freshers. Catch-22 situation where experience needed for placement but placement needed for experience. || Resolution: Launched fresh graduate placement track with entry-level focused companies"/>
    <x v="2"/>
    <x v="3"/>
    <n v="9"/>
    <x v="0"/>
    <s v="Awaiting Action - Learner"/>
    <s v="Issue_pending"/>
    <s v="Issue_pending"/>
    <x v="0"/>
    <n v="13"/>
    <x v="2"/>
  </r>
  <r>
    <x v="198"/>
    <n v="45916"/>
    <n v="0.56462962962962959"/>
    <x v="1"/>
    <x v="7"/>
    <n v="16"/>
    <n v="3"/>
    <s v="13 - 14 hr"/>
    <x v="3"/>
    <m/>
    <m/>
    <s v="Counselling Team - NPS"/>
    <x v="0"/>
    <x v="0"/>
    <n v="9476700066"/>
    <s v="learner183@example.com"/>
    <s v="Assignment deadlines clash with office project deliveries. Given 3 major assignments during typical sprint planning weeks. Need better coordination. || Resolution: Staggered assignment deadlines and provided extension options"/>
    <x v="1"/>
    <x v="11"/>
    <n v="2"/>
    <x v="0"/>
    <s v="Awaiting Action - Scaler"/>
    <s v="Issue_pending"/>
    <s v="Issue_pending"/>
    <x v="0"/>
    <n v="13"/>
    <x v="2"/>
  </r>
  <r>
    <x v="199"/>
    <n v="45917"/>
    <n v="0.64091435185185186"/>
    <x v="1"/>
    <x v="7"/>
    <n v="17"/>
    <n v="4"/>
    <s v="15 - 16 hr"/>
    <x v="4"/>
    <n v="45920"/>
    <n v="0.71084490740740736"/>
    <s v="Counselling Team - NPS"/>
    <x v="0"/>
    <x v="1"/>
    <n v="7220959215"/>
    <s v="learner059@example.com"/>
    <s v="No downloadable notes provided for complex topics. Difficult to review mathematical formulas and algorithms without written reference material. || Resolution: Created comprehensive downloadable study guides for all modules"/>
    <x v="1"/>
    <x v="8"/>
    <n v="6"/>
    <x v="1"/>
    <s v="Solved"/>
    <n v="73.678333333285991"/>
    <n v="3.07"/>
    <x v="1"/>
    <s v="STATUS-COMPLETE"/>
    <x v="1"/>
  </r>
  <r>
    <x v="200"/>
    <n v="45917"/>
    <n v="0.58429398148148148"/>
    <x v="1"/>
    <x v="7"/>
    <n v="17"/>
    <n v="4"/>
    <s v="14 - 15 hr"/>
    <x v="3"/>
    <m/>
    <m/>
    <s v="Counselling Team - NPS"/>
    <x v="0"/>
    <x v="0"/>
    <n v="7774223342"/>
    <s v="learner075@example.com"/>
    <s v="No code review feedback provided for assignments. Submitting working solutions but don't know if following best practices or industry standards. || Resolution: Introduced mandatory code review sessions with senior developers"/>
    <x v="2"/>
    <x v="6"/>
    <n v="6"/>
    <x v="0"/>
    <s v="In Progress"/>
    <s v="Issue_pending"/>
    <s v="Issue_pending"/>
    <x v="0"/>
    <n v="12"/>
    <x v="2"/>
  </r>
  <r>
    <x v="201"/>
    <n v="45917"/>
    <n v="0.78796296296296298"/>
    <x v="1"/>
    <x v="7"/>
    <n v="17"/>
    <n v="4"/>
    <s v="18 - 19 hr"/>
    <x v="4"/>
    <n v="45922"/>
    <n v="0.78041666666666665"/>
    <s v="Counselling Team - NPS"/>
    <x v="0"/>
    <x v="0"/>
    <n v="8836971472"/>
    <s v="learner117@example.com"/>
    <s v="Holiday classes scheduled during Diwali week without considering festival commitments. Attendance drops to 30% affecting Academy Jul25 Beginner momentum. || Resolution: Rescheduled holiday periods and created festival-friendly calendar"/>
    <x v="3"/>
    <x v="11"/>
    <n v="1"/>
    <x v="1"/>
    <s v="Solved"/>
    <n v="119.81888888898538"/>
    <n v="4.99"/>
    <x v="3"/>
    <s v="STATUS-COMPLETE"/>
    <x v="1"/>
  </r>
  <r>
    <x v="202"/>
    <n v="45917"/>
    <n v="0.66685185185185181"/>
    <x v="1"/>
    <x v="7"/>
    <n v="17"/>
    <n v="4"/>
    <s v="16 - 17 hr"/>
    <x v="1"/>
    <n v="45923"/>
    <n v="0.59074074074074079"/>
    <s v="Counselling Team - NPS"/>
    <x v="0"/>
    <x v="1"/>
    <n v="8071769843"/>
    <s v="learner206@example.com"/>
    <s v="Screen sharing resolution too low during coding sessions. Can't read code examples on mobile device. Zoom compression makes text blurry. || Resolution: Upgraded streaming quality to 1080p and optimized for mobile viewing"/>
    <x v="2"/>
    <x v="12"/>
    <n v="2"/>
    <x v="1"/>
    <s v="Solved"/>
    <n v="142.17333333345596"/>
    <n v="5.92"/>
    <x v="3"/>
    <s v="STATUS-COMPLETE"/>
    <x v="1"/>
  </r>
  <r>
    <x v="203"/>
    <n v="45917"/>
    <n v="0.67636574074074074"/>
    <x v="1"/>
    <x v="7"/>
    <n v="17"/>
    <n v="4"/>
    <s v="16 - 17 hr"/>
    <x v="4"/>
    <n v="45923"/>
    <n v="0.57391203703703708"/>
    <s v="Counselling Team - NPS"/>
    <x v="0"/>
    <x v="1"/>
    <n v="9080741273"/>
    <s v="learner220@example.com"/>
    <s v="Screen sharing resolution too low during coding sessions. Can't read code examples on mobile device. Zoom compression makes text blurry. || Resolution: Upgraded streaming quality to 1080p and optimized for mobile viewing"/>
    <x v="2"/>
    <x v="12"/>
    <n v="3"/>
    <x v="1"/>
    <s v="Solved"/>
    <n v="141.54111111100065"/>
    <n v="5.9"/>
    <x v="3"/>
    <s v="STATUS-COMPLETE"/>
    <x v="1"/>
  </r>
  <r>
    <x v="204"/>
    <n v="45918"/>
    <n v="0.48268518518518516"/>
    <x v="1"/>
    <x v="7"/>
    <n v="18"/>
    <n v="5"/>
    <s v="11 - 12 hr"/>
    <x v="5"/>
    <n v="45922"/>
    <n v="0.57089120370370372"/>
    <s v="Counselling Team - NPS"/>
    <x v="0"/>
    <x v="2"/>
    <n v="7011492154"/>
    <s v="learner027@example.com"/>
    <s v="Placement eligibility criteria require 70%+ in graduation but scored 68% due to family financial crisis during college. Seems unfair exclusion. || Resolution: Reviewed eligibility criteria and created exception process for genuine hardship cases"/>
    <x v="3"/>
    <x v="7"/>
    <n v="6"/>
    <x v="1"/>
    <s v="Solved"/>
    <n v="98.116944444424007"/>
    <n v="4.09"/>
    <x v="3"/>
    <s v="STATUS-COMPLETE"/>
    <x v="1"/>
  </r>
  <r>
    <x v="205"/>
    <n v="45918"/>
    <n v="0.64913194444444444"/>
    <x v="1"/>
    <x v="7"/>
    <n v="18"/>
    <n v="5"/>
    <s v="15 - 16 hr"/>
    <x v="1"/>
    <n v="45924"/>
    <n v="0.41702546296296295"/>
    <s v="Counselling Team - NPS"/>
    <x v="0"/>
    <x v="2"/>
    <n v="9148610411"/>
    <s v="learner065@example.com"/>
    <s v="Career guidance sessions focus only on technical skills. No discussion about salary negotiation, Uber culture fit, or work-life balance considerations. || Resolution: Introduced holistic career coaching covering all professional aspects"/>
    <x v="0"/>
    <x v="9"/>
    <n v="8"/>
    <x v="1"/>
    <s v="Solved"/>
    <n v="138.42944444442401"/>
    <n v="5.77"/>
    <x v="3"/>
    <s v="STATUS-COMPLETE"/>
    <x v="1"/>
  </r>
  <r>
    <x v="206"/>
    <n v="45918"/>
    <n v="0.66885416666666664"/>
    <x v="1"/>
    <x v="7"/>
    <n v="18"/>
    <n v="5"/>
    <s v="16 - 17 hr"/>
    <x v="3"/>
    <n v="45930"/>
    <n v="0.54598379629629634"/>
    <s v="Counselling Team - NPS"/>
    <x v="0"/>
    <x v="2"/>
    <n v="7399546384"/>
    <s v="learner189@example.com"/>
    <s v="Multiple interview rounds cleared but final selection goes to internal referrals. External candidates seem disadvantaged despite equal performance. || Resolution: Expanded alumni network for referral opportunities and insider advocacy"/>
    <x v="3"/>
    <x v="4"/>
    <n v="2"/>
    <x v="1"/>
    <s v="Solved"/>
    <n v="285.05111111118458"/>
    <n v="11.88"/>
    <x v="4"/>
    <s v="STATUS-COMPLETE"/>
    <x v="1"/>
  </r>
  <r>
    <x v="207"/>
    <n v="45919"/>
    <n v="0.80045138888888889"/>
    <x v="1"/>
    <x v="7"/>
    <n v="19"/>
    <n v="6"/>
    <s v="19 - 20 hr"/>
    <x v="3"/>
    <m/>
    <m/>
    <s v="Counselling Team - NPS"/>
    <x v="0"/>
    <x v="1"/>
    <n v="9910976189"/>
    <s v="learner045@example.com"/>
    <s v="Instructor Nina Patel Rajesh Kumar in AIML Jul25 DevOps Jul25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
    <x v="1"/>
    <x v="10"/>
    <n v="9"/>
    <x v="0"/>
    <s v="In Progress"/>
    <s v="Issue_pending"/>
    <s v="Issue_pending"/>
    <x v="0"/>
    <n v="10"/>
    <x v="2"/>
  </r>
  <r>
    <x v="208"/>
    <n v="45919"/>
    <n v="0.54422453703703699"/>
    <x v="1"/>
    <x v="7"/>
    <n v="19"/>
    <n v="6"/>
    <s v="13 - 14 hr"/>
    <x v="6"/>
    <n v="45928"/>
    <n v="0.63254629629629633"/>
    <s v="Counselling Team - NPS"/>
    <x v="0"/>
    <x v="2"/>
    <n v="8594343845"/>
    <s v="learner078@example.com"/>
    <s v="Considering career break for higher studies (MS abroad). Need advice on timing, university selection, and maintaining professional network during studies. || Resolution: Provided comprehensive higher education guidance and alumni connections"/>
    <x v="3"/>
    <x v="2"/>
    <n v="6"/>
    <x v="1"/>
    <s v="Solved"/>
    <n v="218.11972222232725"/>
    <n v="9.09"/>
    <x v="4"/>
    <s v="STATUS-COMPLETE"/>
    <x v="1"/>
  </r>
  <r>
    <x v="209"/>
    <n v="45919"/>
    <n v="0.81288194444444439"/>
    <x v="1"/>
    <x v="7"/>
    <n v="19"/>
    <n v="6"/>
    <s v="19 - 20 hr"/>
    <x v="4"/>
    <n v="45927"/>
    <n v="0.40634259259259259"/>
    <s v="Counselling Team - NPS"/>
    <x v="0"/>
    <x v="0"/>
    <n v="8347557120"/>
    <s v="learner109@example.com"/>
    <s v="Mentor calls scheduled during lunch hours (1-2 PM) when most professionals are in meetings. Need evening or early morning slots. || Resolution: Extended mentor availability to 7-9 PM weekday slots"/>
    <x v="3"/>
    <x v="11"/>
    <n v="5"/>
    <x v="1"/>
    <s v="Solved"/>
    <n v="182.24305555550382"/>
    <n v="7.59"/>
    <x v="3"/>
    <s v="STATUS-COMPLETE"/>
    <x v="1"/>
  </r>
  <r>
    <x v="210"/>
    <n v="45919"/>
    <n v="0.57608796296296294"/>
    <x v="1"/>
    <x v="7"/>
    <n v="19"/>
    <n v="6"/>
    <s v="13 - 14 hr"/>
    <x v="10"/>
    <m/>
    <m/>
    <s v="Counselling Team - NPS"/>
    <x v="0"/>
    <x v="2"/>
    <n v="9328058564"/>
    <s v="learner164@example.com"/>
    <s v="Resume highlighting DSML completion not attracting ML Engineer positions. Only getting data entry or analyst roles below skill level and salary expectations. || Resolution: Added ML portfolio projects and technical blog writing to demonstrate expertise"/>
    <x v="2"/>
    <x v="3"/>
    <n v="1"/>
    <x v="0"/>
    <s v="In Progress"/>
    <s v="Issue_pending"/>
    <s v="Issue_pending"/>
    <x v="0"/>
    <n v="10"/>
    <x v="2"/>
  </r>
  <r>
    <x v="211"/>
    <n v="45919"/>
    <n v="0.73333333333333328"/>
    <x v="1"/>
    <x v="7"/>
    <n v="19"/>
    <n v="6"/>
    <s v="17 - 18 hr"/>
    <x v="0"/>
    <m/>
    <m/>
    <s v="Counselling Team - NPS"/>
    <x v="0"/>
    <x v="3"/>
    <n v="9791815554"/>
    <s v="learner175@example.com"/>
    <s v="Want to pursue management track vs staying technical. Currently team lead but unsure about MBA requirements and career progression options. || Resolution: Arranged sessions with both technical architects and engineering managers"/>
    <x v="3"/>
    <x v="2"/>
    <n v="4"/>
    <x v="0"/>
    <s v="Awaiting Action - Scaler"/>
    <s v="Issue_pending"/>
    <s v="Issue_pending"/>
    <x v="0"/>
    <n v="10"/>
    <x v="2"/>
  </r>
  <r>
    <x v="212"/>
    <n v="45919"/>
    <n v="0.59675925925925921"/>
    <x v="1"/>
    <x v="7"/>
    <n v="19"/>
    <n v="6"/>
    <s v="14 - 15 hr"/>
    <x v="5"/>
    <n v="45928"/>
    <n v="0.58637731481481481"/>
    <s v="Counselling Team - NPS"/>
    <x v="0"/>
    <x v="1"/>
    <n v="7676474018"/>
    <s v="learner203@example.com"/>
    <s v="Instructor Nina Patel David Chen frequently cancels AWS sessions due to health issues. This month: 5 out of 8 scheduled classes cancelled. Students falling behind on cloud certification timeline. || Resolution: Assigned backup instructor and provided comprehensive recorded sessions"/>
    <x v="0"/>
    <x v="10"/>
    <n v="7"/>
    <x v="1"/>
    <s v="Solved"/>
    <n v="215.75083333341172"/>
    <n v="8.99"/>
    <x v="4"/>
    <s v="STATUS-COMPLETE"/>
    <x v="1"/>
  </r>
  <r>
    <x v="213"/>
    <n v="45920"/>
    <n v="0.51515046296296296"/>
    <x v="1"/>
    <x v="7"/>
    <n v="20"/>
    <n v="7"/>
    <s v="12 - 13 hr"/>
    <x v="5"/>
    <n v="45923"/>
    <n v="0.75907407407407412"/>
    <s v="Counselling Team - NPS"/>
    <x v="0"/>
    <x v="1"/>
    <n v="9559721644"/>
    <s v="learner052@example.com"/>
    <s v="Machine Learning module lacks MLOps content. No coverage of model deployment, monitoring, or A/B testing. Industry expects end-to-end ML pipeline knowledge. || Resolution: Adding MLOps specialization track with hands-on deployment projects"/>
    <x v="3"/>
    <x v="13"/>
    <n v="3"/>
    <x v="1"/>
    <s v="Solved"/>
    <n v="77.854166666627862"/>
    <n v="3.24"/>
    <x v="1"/>
    <s v="STATUS-COMPLETE"/>
    <x v="1"/>
  </r>
  <r>
    <x v="214"/>
    <n v="45920"/>
    <n v="0.7923958333333333"/>
    <x v="1"/>
    <x v="7"/>
    <n v="20"/>
    <n v="7"/>
    <s v="19 - 20 hr"/>
    <x v="6"/>
    <m/>
    <m/>
    <s v="Counselling Team - NPS"/>
    <x v="0"/>
    <x v="2"/>
    <n v="8724932977"/>
    <s v="learner055@example.com"/>
    <s v="Interview performance good but companies prefer candidates with production experience. Theoretical knowledge not translating to confidence in interviews. || Resolution: Created mock production environment projects for hands-on experience"/>
    <x v="1"/>
    <x v="4"/>
    <n v="4"/>
    <x v="0"/>
    <s v="In Progress"/>
    <s v="Issue_pending"/>
    <s v="Issue_pending"/>
    <x v="0"/>
    <n v="9"/>
    <x v="2"/>
  </r>
  <r>
    <x v="215"/>
    <n v="45920"/>
    <n v="0.66851851851851851"/>
    <x v="1"/>
    <x v="7"/>
    <n v="20"/>
    <n v="7"/>
    <s v="16 - 17 hr"/>
    <x v="4"/>
    <m/>
    <m/>
    <s v="Counselling Team - NPS"/>
    <x v="0"/>
    <x v="2"/>
    <n v="8603321558"/>
    <s v="learner084@example.com"/>
    <s v="Want to transition from service-based to product companies but don't understand cultural and technical differences. Need guidance on preparation strategy. || Resolution: Connected with mentor who made similar transition and provided Zomato-specific prep"/>
    <x v="2"/>
    <x v="2"/>
    <n v="6"/>
    <x v="0"/>
    <s v="In Progress"/>
    <s v="Issue_pending"/>
    <s v="Issue_pending"/>
    <x v="0"/>
    <n v="9"/>
    <x v="2"/>
  </r>
  <r>
    <x v="216"/>
    <n v="45920"/>
    <n v="0.41221064814814817"/>
    <x v="1"/>
    <x v="7"/>
    <n v="20"/>
    <n v="7"/>
    <s v="9 - 10 hr"/>
    <x v="2"/>
    <n v="45928"/>
    <n v="0.73984953703703704"/>
    <s v="Counselling Team - NPS"/>
    <x v="0"/>
    <x v="0"/>
    <n v="7868256753"/>
    <s v="learner121@example.com"/>
    <s v="Multiple TAs provide conflicting solutions for same problem. Creates confusion about best practices and correct approach for implementation. || Resolution: Implemented TA training program and standardized solution guidelines"/>
    <x v="2"/>
    <x v="5"/>
    <n v="2"/>
    <x v="1"/>
    <s v="Solved"/>
    <n v="199.86333333340008"/>
    <n v="8.33"/>
    <x v="4"/>
    <s v="STATUS-COMPLETE"/>
    <x v="1"/>
  </r>
  <r>
    <x v="217"/>
    <n v="45920"/>
    <n v="0.68842592592592589"/>
    <x v="1"/>
    <x v="7"/>
    <n v="20"/>
    <n v="7"/>
    <s v="16 - 17 hr"/>
    <x v="0"/>
    <m/>
    <m/>
    <s v="Counselling Team - NPS"/>
    <x v="0"/>
    <x v="3"/>
    <n v="7010621799"/>
    <s v="learner169@example.com"/>
    <s v="Assignment instructions assume prior knowledge not covered in lectures. Database project requires PostgreSQL when only MySQL was taught in class. || Resolution: Added prerequisite tutorials and Azure setup guides"/>
    <x v="0"/>
    <x v="6"/>
    <n v="3"/>
    <x v="0"/>
    <s v="Awaiting Action - Scaler"/>
    <s v="Issue_pending"/>
    <s v="Issue_pending"/>
    <x v="0"/>
    <n v="9"/>
    <x v="2"/>
  </r>
  <r>
    <x v="218"/>
    <n v="45920"/>
    <n v="0.78409722222222222"/>
    <x v="1"/>
    <x v="7"/>
    <n v="20"/>
    <n v="7"/>
    <s v="18 - 19 hr"/>
    <x v="3"/>
    <n v="45927"/>
    <n v="0.46500000000000002"/>
    <s v="Counselling Team - NPS"/>
    <x v="0"/>
    <x v="3"/>
    <n v="9300528259"/>
    <s v="learner217@example.com"/>
    <s v="TA Rohit takes 2-3 days to respond to doubt resolution requests. Critical errors in assignments go unresolved, affecting submission deadlines. || Resolution: Implemented 24-hour response SLA for TAs and hired additional support staff"/>
    <x v="2"/>
    <x v="5"/>
    <n v="8"/>
    <x v="1"/>
    <s v="Solved"/>
    <n v="160.3416666664998"/>
    <n v="6.68"/>
    <x v="3"/>
    <s v="STATUS-COMPLETE"/>
    <x v="1"/>
  </r>
  <r>
    <x v="219"/>
    <n v="45921"/>
    <n v="0.7636574074074074"/>
    <x v="1"/>
    <x v="8"/>
    <n v="21"/>
    <n v="1"/>
    <s v="18 - 19 hr"/>
    <x v="4"/>
    <n v="45926"/>
    <n v="0.71532407407407406"/>
    <s v="Counselling Team - NPS"/>
    <x v="0"/>
    <x v="2"/>
    <n v="9964873967"/>
    <s v="learner043@example.com"/>
    <s v="Overqualified for junior positions, underqualified for senior roles. 6 years in different domain creates positioning challenge for appropriate level targeting. || Resolution: Developed targeted application strategy for career pivot roles"/>
    <x v="0"/>
    <x v="3"/>
    <n v="7"/>
    <x v="1"/>
    <s v="Solved"/>
    <n v="118.84000000002561"/>
    <n v="4.95"/>
    <x v="3"/>
    <s v="STATUS-COMPLETE"/>
    <x v="1"/>
  </r>
  <r>
    <x v="220"/>
    <n v="45921"/>
    <n v="0.79932870370370368"/>
    <x v="1"/>
    <x v="8"/>
    <n v="21"/>
    <n v="1"/>
    <s v="19 - 20 hr"/>
    <x v="1"/>
    <m/>
    <m/>
    <s v="Counselling Team - NPS"/>
    <x v="0"/>
    <x v="3"/>
    <n v="8880157459"/>
    <s v="learner072@example.com"/>
    <s v="TA support only available during office hours. Working professionals need evening and weekend support for assignment debugging and concept clarification. || Resolution: Extended TA support hours to include evenings and Saturday coverage"/>
    <x v="2"/>
    <x v="5"/>
    <n v="4"/>
    <x v="0"/>
    <s v="Awaiting Action - Learner"/>
    <s v="Issue_pending"/>
    <s v="Issue_pending"/>
    <x v="0"/>
    <n v="8"/>
    <x v="2"/>
  </r>
  <r>
    <x v="221"/>
    <n v="45921"/>
    <n v="0.55562500000000004"/>
    <x v="1"/>
    <x v="8"/>
    <n v="21"/>
    <n v="1"/>
    <s v="13 - 14 hr"/>
    <x v="7"/>
    <n v="45928"/>
    <n v="0.43585648148148148"/>
    <s v="Counselling Team - NPS"/>
    <x v="0"/>
    <x v="0"/>
    <n v="8408405265"/>
    <s v="learner088@example.com"/>
    <s v="Holiday classes scheduled during Diwali week without considering festival commitments. Attendance drops to 30% affecting DevOps Jul25 momentum. || Resolution: Rescheduled holiday periods and created festival-friendly calendar"/>
    <x v="3"/>
    <x v="11"/>
    <n v="7"/>
    <x v="1"/>
    <s v="Solved"/>
    <n v="165.12555555556901"/>
    <n v="6.88"/>
    <x v="3"/>
    <s v="STATUS-COMPLETE"/>
    <x v="1"/>
  </r>
  <r>
    <x v="222"/>
    <n v="45921"/>
    <n v="0.75280092592592596"/>
    <x v="1"/>
    <x v="8"/>
    <n v="21"/>
    <n v="1"/>
    <s v="18 - 19 hr"/>
    <x v="4"/>
    <n v="45922"/>
    <n v="0.63671296296296298"/>
    <s v="Counselling Team - NPS"/>
    <x v="0"/>
    <x v="2"/>
    <n v="8479740208"/>
    <s v="learner123@example.com"/>
    <s v="Placement eligibility criteria require 70%+ in graduation but scored 68% due to family financial crisis during college. Seems unfair exclusion. || Resolution: Reviewed eligibility criteria and created exception process for genuine hardship cases"/>
    <x v="2"/>
    <x v="7"/>
    <n v="4"/>
    <x v="1"/>
    <s v="Solved"/>
    <n v="21.213888888945803"/>
    <n v="0.88"/>
    <x v="1"/>
    <s v="STATUS-COMPLETE"/>
    <x v="1"/>
  </r>
  <r>
    <x v="223"/>
    <n v="45921"/>
    <n v="0.67171296296296301"/>
    <x v="1"/>
    <x v="8"/>
    <n v="21"/>
    <n v="1"/>
    <s v="16 - 17 hr"/>
    <x v="6"/>
    <m/>
    <m/>
    <s v="Counselling Team - NPS"/>
    <x v="0"/>
    <x v="3"/>
    <n v="9266518721"/>
    <s v="learner159@example.com"/>
    <s v="Career guidance sessions focus only on technical skills. No discussion about salary negotiation, PayTM culture fit, or work-life balance considerations. || Resolution: Introduced holistic career coaching covering all professional aspects"/>
    <x v="1"/>
    <x v="9"/>
    <n v="5"/>
    <x v="0"/>
    <s v="Awaiting Action - Scaler"/>
    <s v="Issue_pending"/>
    <s v="Issue_pending"/>
    <x v="0"/>
    <n v="8"/>
    <x v="2"/>
  </r>
  <r>
    <x v="224"/>
    <n v="45921"/>
    <n v="0.7434143518518519"/>
    <x v="1"/>
    <x v="8"/>
    <n v="21"/>
    <n v="1"/>
    <s v="17 - 18 hr"/>
    <x v="8"/>
    <n v="45932"/>
    <n v="0.74306712962962962"/>
    <s v="Counselling Team - NPS"/>
    <x v="0"/>
    <x v="3"/>
    <n v="9429453032"/>
    <s v="learner198@example.com"/>
    <s v="Group project team members unresponsive and not contributing equally. Carrying entire workload solo while others get same grades. Need individual assessment. || Resolution: Implemented peer evaluation system and individual contribution tracking"/>
    <x v="0"/>
    <x v="6"/>
    <n v="9"/>
    <x v="1"/>
    <s v="Solved"/>
    <n v="263.9916666666395"/>
    <n v="11"/>
    <x v="4"/>
    <s v="STATUS-COMPLET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8D0F2A-04DB-4952-98B9-58AEAFF6C235}" name="PivotTable2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CG54:CM68" firstHeaderRow="1" firstDataRow="3"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axis="axisRow" showAll="0" sortType="descending">
      <items count="12">
        <item x="8"/>
        <item x="6"/>
        <item x="1"/>
        <item x="4"/>
        <item x="3"/>
        <item x="7"/>
        <item x="5"/>
        <item x="2"/>
        <item x="9"/>
        <item x="0"/>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0"/>
        <item x="2"/>
        <item x="1"/>
        <item x="3"/>
        <item t="default"/>
      </items>
    </pivotField>
    <pivotField showAll="0"/>
    <pivotField showAll="0"/>
    <pivotField showAll="0"/>
    <pivotField showAll="0">
      <items count="5">
        <item x="2"/>
        <item x="3"/>
        <item x="1"/>
        <item x="0"/>
        <item t="default"/>
      </items>
    </pivotField>
    <pivotField showAll="0"/>
    <pivotField showAll="0"/>
    <pivotField axis="axisCol" showAll="0">
      <items count="3">
        <item x="1"/>
        <item x="0"/>
        <item t="default"/>
      </items>
    </pivotField>
    <pivotField showAll="0"/>
    <pivotField showAll="0"/>
    <pivotField showAll="0"/>
    <pivotField showAll="0"/>
    <pivotField showAll="0"/>
    <pivotField showAll="0"/>
  </pivotFields>
  <rowFields count="1">
    <field x="8"/>
  </rowFields>
  <rowItems count="12">
    <i>
      <x v="3"/>
    </i>
    <i>
      <x v="4"/>
    </i>
    <i>
      <x/>
    </i>
    <i>
      <x v="1"/>
    </i>
    <i>
      <x v="5"/>
    </i>
    <i>
      <x v="6"/>
    </i>
    <i>
      <x v="9"/>
    </i>
    <i>
      <x v="2"/>
    </i>
    <i>
      <x v="7"/>
    </i>
    <i>
      <x v="8"/>
    </i>
    <i>
      <x v="10"/>
    </i>
    <i t="grand">
      <x/>
    </i>
  </rowItems>
  <colFields count="2">
    <field x="20"/>
    <field x="-2"/>
  </colFields>
  <colItems count="6">
    <i>
      <x/>
      <x/>
    </i>
    <i r="1" i="1">
      <x v="1"/>
    </i>
    <i>
      <x v="1"/>
      <x/>
    </i>
    <i r="1" i="1">
      <x v="1"/>
    </i>
    <i t="grand">
      <x/>
    </i>
    <i t="grand" i="1">
      <x/>
    </i>
  </colItems>
  <dataFields count="2">
    <dataField name="COUNT OF TICKET PENDING " fld="0" subtotal="count" baseField="17" baseItem="0"/>
    <dataField name="PERCENTAGE COMPLETE" fld="0" subtotal="count" showDataAs="percentOfRow" baseField="17" baseItem="0" numFmtId="10"/>
  </dataFields>
  <chartFormats count="28">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4" series="1">
      <pivotArea type="data" outline="0" fieldPosition="0">
        <references count="2">
          <reference field="4294967294" count="1" selected="0">
            <x v="1"/>
          </reference>
          <reference field="20" count="1" selected="0">
            <x v="1"/>
          </reference>
        </references>
      </pivotArea>
    </chartFormat>
    <chartFormat chart="0" format="5" series="1">
      <pivotArea type="data" outline="0" fieldPosition="0">
        <references count="2">
          <reference field="4294967294" count="1" selected="0">
            <x v="1"/>
          </reference>
          <reference field="20" count="1" selected="0">
            <x v="0"/>
          </reference>
        </references>
      </pivotArea>
    </chartFormat>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1"/>
          </reference>
          <reference field="20" count="1" selected="0">
            <x v="0"/>
          </reference>
        </references>
      </pivotArea>
    </chartFormat>
    <chartFormat chart="1" format="2" series="1">
      <pivotArea type="data" outline="0" fieldPosition="0">
        <references count="2">
          <reference field="4294967294" count="1" selected="0">
            <x v="0"/>
          </reference>
          <reference field="20" count="1" selected="0">
            <x v="1"/>
          </reference>
        </references>
      </pivotArea>
    </chartFormat>
    <chartFormat chart="1" format="3" series="1">
      <pivotArea type="data" outline="0" fieldPosition="0">
        <references count="2">
          <reference field="4294967294" count="1" selected="0">
            <x v="1"/>
          </reference>
          <reference field="20" count="1" selected="0">
            <x v="1"/>
          </reference>
        </references>
      </pivotArea>
    </chartFormat>
    <chartFormat chart="2" format="0" series="1">
      <pivotArea type="data" outline="0" fieldPosition="0">
        <references count="2">
          <reference field="4294967294" count="1" selected="0">
            <x v="0"/>
          </reference>
          <reference field="20" count="1" selected="0">
            <x v="0"/>
          </reference>
        </references>
      </pivotArea>
    </chartFormat>
    <chartFormat chart="2" format="1" series="1">
      <pivotArea type="data" outline="0" fieldPosition="0">
        <references count="2">
          <reference field="4294967294" count="1" selected="0">
            <x v="1"/>
          </reference>
          <reference field="20" count="1" selected="0">
            <x v="0"/>
          </reference>
        </references>
      </pivotArea>
    </chartFormat>
    <chartFormat chart="2" format="2" series="1">
      <pivotArea type="data" outline="0" fieldPosition="0">
        <references count="2">
          <reference field="4294967294" count="1" selected="0">
            <x v="0"/>
          </reference>
          <reference field="20" count="1" selected="0">
            <x v="1"/>
          </reference>
        </references>
      </pivotArea>
    </chartFormat>
    <chartFormat chart="2" format="3" series="1">
      <pivotArea type="data" outline="0" fieldPosition="0">
        <references count="2">
          <reference field="4294967294" count="1" selected="0">
            <x v="1"/>
          </reference>
          <reference field="20" count="1" selected="0">
            <x v="1"/>
          </reference>
        </references>
      </pivotArea>
    </chartFormat>
    <chartFormat chart="12" format="0" series="1">
      <pivotArea type="data" outline="0" fieldPosition="0">
        <references count="2">
          <reference field="4294967294" count="1" selected="0">
            <x v="0"/>
          </reference>
          <reference field="20" count="1" selected="0">
            <x v="0"/>
          </reference>
        </references>
      </pivotArea>
    </chartFormat>
    <chartFormat chart="12" format="1" series="1">
      <pivotArea type="data" outline="0" fieldPosition="0">
        <references count="2">
          <reference field="4294967294" count="1" selected="0">
            <x v="1"/>
          </reference>
          <reference field="20" count="1" selected="0">
            <x v="0"/>
          </reference>
        </references>
      </pivotArea>
    </chartFormat>
    <chartFormat chart="12" format="2" series="1">
      <pivotArea type="data" outline="0" fieldPosition="0">
        <references count="2">
          <reference field="4294967294" count="1" selected="0">
            <x v="0"/>
          </reference>
          <reference field="20" count="1" selected="0">
            <x v="1"/>
          </reference>
        </references>
      </pivotArea>
    </chartFormat>
    <chartFormat chart="12" format="3" series="1">
      <pivotArea type="data" outline="0" fieldPosition="0">
        <references count="2">
          <reference field="4294967294" count="1" selected="0">
            <x v="1"/>
          </reference>
          <reference field="20" count="1" selected="0">
            <x v="1"/>
          </reference>
        </references>
      </pivotArea>
    </chartFormat>
    <chartFormat chart="19" format="0" series="1">
      <pivotArea type="data" outline="0" fieldPosition="0">
        <references count="2">
          <reference field="4294967294" count="1" selected="0">
            <x v="0"/>
          </reference>
          <reference field="20" count="1" selected="0">
            <x v="0"/>
          </reference>
        </references>
      </pivotArea>
    </chartFormat>
    <chartFormat chart="19" format="1" series="1">
      <pivotArea type="data" outline="0" fieldPosition="0">
        <references count="2">
          <reference field="4294967294" count="1" selected="0">
            <x v="1"/>
          </reference>
          <reference field="20" count="1" selected="0">
            <x v="0"/>
          </reference>
        </references>
      </pivotArea>
    </chartFormat>
    <chartFormat chart="19" format="2" series="1">
      <pivotArea type="data" outline="0" fieldPosition="0">
        <references count="2">
          <reference field="4294967294" count="1" selected="0">
            <x v="0"/>
          </reference>
          <reference field="20" count="1" selected="0">
            <x v="1"/>
          </reference>
        </references>
      </pivotArea>
    </chartFormat>
    <chartFormat chart="19" format="3" series="1">
      <pivotArea type="data" outline="0" fieldPosition="0">
        <references count="2">
          <reference field="4294967294" count="1" selected="0">
            <x v="1"/>
          </reference>
          <reference field="20" count="1" selected="0">
            <x v="1"/>
          </reference>
        </references>
      </pivotArea>
    </chartFormat>
    <chartFormat chart="22" format="8" series="1">
      <pivotArea type="data" outline="0" fieldPosition="0">
        <references count="2">
          <reference field="4294967294" count="1" selected="0">
            <x v="0"/>
          </reference>
          <reference field="20" count="1" selected="0">
            <x v="0"/>
          </reference>
        </references>
      </pivotArea>
    </chartFormat>
    <chartFormat chart="22" format="9" series="1">
      <pivotArea type="data" outline="0" fieldPosition="0">
        <references count="2">
          <reference field="4294967294" count="1" selected="0">
            <x v="1"/>
          </reference>
          <reference field="20" count="1" selected="0">
            <x v="0"/>
          </reference>
        </references>
      </pivotArea>
    </chartFormat>
    <chartFormat chart="22" format="10" series="1">
      <pivotArea type="data" outline="0" fieldPosition="0">
        <references count="2">
          <reference field="4294967294" count="1" selected="0">
            <x v="0"/>
          </reference>
          <reference field="20" count="1" selected="0">
            <x v="1"/>
          </reference>
        </references>
      </pivotArea>
    </chartFormat>
    <chartFormat chart="22" format="11" series="1">
      <pivotArea type="data" outline="0" fieldPosition="0">
        <references count="2">
          <reference field="4294967294" count="1" selected="0">
            <x v="1"/>
          </reference>
          <reference field="20" count="1" selected="0">
            <x v="1"/>
          </reference>
        </references>
      </pivotArea>
    </chartFormat>
    <chartFormat chart="27" format="16" series="1">
      <pivotArea type="data" outline="0" fieldPosition="0">
        <references count="2">
          <reference field="4294967294" count="1" selected="0">
            <x v="0"/>
          </reference>
          <reference field="20" count="1" selected="0">
            <x v="0"/>
          </reference>
        </references>
      </pivotArea>
    </chartFormat>
    <chartFormat chart="27" format="17" series="1">
      <pivotArea type="data" outline="0" fieldPosition="0">
        <references count="2">
          <reference field="4294967294" count="1" selected="0">
            <x v="1"/>
          </reference>
          <reference field="20" count="1" selected="0">
            <x v="0"/>
          </reference>
        </references>
      </pivotArea>
    </chartFormat>
    <chartFormat chart="27" format="18" series="1">
      <pivotArea type="data" outline="0" fieldPosition="0">
        <references count="2">
          <reference field="4294967294" count="1" selected="0">
            <x v="0"/>
          </reference>
          <reference field="20" count="1" selected="0">
            <x v="1"/>
          </reference>
        </references>
      </pivotArea>
    </chartFormat>
    <chartFormat chart="27" format="19" series="1">
      <pivotArea type="data" outline="0" fieldPosition="0">
        <references count="2">
          <reference field="4294967294" count="1" selected="0">
            <x v="1"/>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A99253-F263-4CD0-8A9D-AB035582DC38}" name="PivotTable2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CG34:CM51" firstHeaderRow="1" firstDataRow="3"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items count="5">
        <item x="2"/>
        <item x="3"/>
        <item x="1"/>
        <item x="0"/>
        <item t="default"/>
      </items>
    </pivotField>
    <pivotField axis="axisRow" showAll="0" sortType="descending">
      <items count="15">
        <item x="4"/>
        <item x="0"/>
        <item x="3"/>
        <item x="10"/>
        <item x="8"/>
        <item x="2"/>
        <item x="9"/>
        <item x="7"/>
        <item x="12"/>
        <item x="6"/>
        <item x="5"/>
        <item x="11"/>
        <item x="13"/>
        <item x="1"/>
        <item t="default"/>
      </items>
      <autoSortScope>
        <pivotArea dataOnly="0" outline="0" fieldPosition="0">
          <references count="1">
            <reference field="4294967294" count="1" selected="0">
              <x v="0"/>
            </reference>
          </references>
        </pivotArea>
      </autoSortScope>
    </pivotField>
    <pivotField showAll="0"/>
    <pivotField axis="axisCol" showAll="0">
      <items count="3">
        <item x="1"/>
        <item x="0"/>
        <item t="default"/>
      </items>
    </pivotField>
    <pivotField showAll="0"/>
    <pivotField showAll="0"/>
    <pivotField showAll="0"/>
    <pivotField showAll="0"/>
    <pivotField showAll="0"/>
    <pivotField showAll="0"/>
  </pivotFields>
  <rowFields count="1">
    <field x="18"/>
  </rowFields>
  <rowItems count="15">
    <i>
      <x v="5"/>
    </i>
    <i>
      <x/>
    </i>
    <i>
      <x v="9"/>
    </i>
    <i>
      <x v="1"/>
    </i>
    <i>
      <x v="11"/>
    </i>
    <i>
      <x v="6"/>
    </i>
    <i>
      <x v="2"/>
    </i>
    <i>
      <x v="10"/>
    </i>
    <i>
      <x v="13"/>
    </i>
    <i>
      <x v="7"/>
    </i>
    <i>
      <x v="3"/>
    </i>
    <i>
      <x v="8"/>
    </i>
    <i>
      <x v="4"/>
    </i>
    <i>
      <x v="12"/>
    </i>
    <i t="grand">
      <x/>
    </i>
  </rowItems>
  <colFields count="2">
    <field x="20"/>
    <field x="-2"/>
  </colFields>
  <colItems count="6">
    <i>
      <x/>
      <x/>
    </i>
    <i r="1" i="1">
      <x v="1"/>
    </i>
    <i>
      <x v="1"/>
      <x/>
    </i>
    <i r="1" i="1">
      <x v="1"/>
    </i>
    <i t="grand">
      <x/>
    </i>
    <i t="grand" i="1">
      <x/>
    </i>
  </colItems>
  <dataFields count="2">
    <dataField name="COUNT OF TICKET PENDING " fld="0" subtotal="count" baseField="17" baseItem="0"/>
    <dataField name="PERCENTAGE COMPLETE" fld="0" subtotal="count" showDataAs="percentOfRow" baseField="17" baseItem="0" numFmtId="10"/>
  </dataFields>
  <chartFormats count="32">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4" series="1">
      <pivotArea type="data" outline="0" fieldPosition="0">
        <references count="2">
          <reference field="4294967294" count="1" selected="0">
            <x v="1"/>
          </reference>
          <reference field="20" count="1" selected="0">
            <x v="1"/>
          </reference>
        </references>
      </pivotArea>
    </chartFormat>
    <chartFormat chart="0" format="5" series="1">
      <pivotArea type="data" outline="0" fieldPosition="0">
        <references count="2">
          <reference field="4294967294" count="1" selected="0">
            <x v="1"/>
          </reference>
          <reference field="20" count="1" selected="0">
            <x v="0"/>
          </reference>
        </references>
      </pivotArea>
    </chartFormat>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1"/>
          </reference>
          <reference field="20" count="1" selected="0">
            <x v="0"/>
          </reference>
        </references>
      </pivotArea>
    </chartFormat>
    <chartFormat chart="1" format="2" series="1">
      <pivotArea type="data" outline="0" fieldPosition="0">
        <references count="2">
          <reference field="4294967294" count="1" selected="0">
            <x v="0"/>
          </reference>
          <reference field="20" count="1" selected="0">
            <x v="1"/>
          </reference>
        </references>
      </pivotArea>
    </chartFormat>
    <chartFormat chart="1" format="3" series="1">
      <pivotArea type="data" outline="0" fieldPosition="0">
        <references count="2">
          <reference field="4294967294" count="1" selected="0">
            <x v="1"/>
          </reference>
          <reference field="20" count="1" selected="0">
            <x v="1"/>
          </reference>
        </references>
      </pivotArea>
    </chartFormat>
    <chartFormat chart="2" format="0" series="1">
      <pivotArea type="data" outline="0" fieldPosition="0">
        <references count="2">
          <reference field="4294967294" count="1" selected="0">
            <x v="0"/>
          </reference>
          <reference field="20" count="1" selected="0">
            <x v="0"/>
          </reference>
        </references>
      </pivotArea>
    </chartFormat>
    <chartFormat chart="2" format="1" series="1">
      <pivotArea type="data" outline="0" fieldPosition="0">
        <references count="2">
          <reference field="4294967294" count="1" selected="0">
            <x v="1"/>
          </reference>
          <reference field="20" count="1" selected="0">
            <x v="0"/>
          </reference>
        </references>
      </pivotArea>
    </chartFormat>
    <chartFormat chart="2" format="2" series="1">
      <pivotArea type="data" outline="0" fieldPosition="0">
        <references count="2">
          <reference field="4294967294" count="1" selected="0">
            <x v="0"/>
          </reference>
          <reference field="20" count="1" selected="0">
            <x v="1"/>
          </reference>
        </references>
      </pivotArea>
    </chartFormat>
    <chartFormat chart="2" format="3" series="1">
      <pivotArea type="data" outline="0" fieldPosition="0">
        <references count="2">
          <reference field="4294967294" count="1" selected="0">
            <x v="1"/>
          </reference>
          <reference field="20" count="1" selected="0">
            <x v="1"/>
          </reference>
        </references>
      </pivotArea>
    </chartFormat>
    <chartFormat chart="12" format="0" series="1">
      <pivotArea type="data" outline="0" fieldPosition="0">
        <references count="2">
          <reference field="4294967294" count="1" selected="0">
            <x v="0"/>
          </reference>
          <reference field="20" count="1" selected="0">
            <x v="0"/>
          </reference>
        </references>
      </pivotArea>
    </chartFormat>
    <chartFormat chart="12" format="1" series="1">
      <pivotArea type="data" outline="0" fieldPosition="0">
        <references count="2">
          <reference field="4294967294" count="1" selected="0">
            <x v="1"/>
          </reference>
          <reference field="20" count="1" selected="0">
            <x v="0"/>
          </reference>
        </references>
      </pivotArea>
    </chartFormat>
    <chartFormat chart="12" format="2" series="1">
      <pivotArea type="data" outline="0" fieldPosition="0">
        <references count="2">
          <reference field="4294967294" count="1" selected="0">
            <x v="0"/>
          </reference>
          <reference field="20" count="1" selected="0">
            <x v="1"/>
          </reference>
        </references>
      </pivotArea>
    </chartFormat>
    <chartFormat chart="12" format="3" series="1">
      <pivotArea type="data" outline="0" fieldPosition="0">
        <references count="2">
          <reference field="4294967294" count="1" selected="0">
            <x v="1"/>
          </reference>
          <reference field="20" count="1" selected="0">
            <x v="1"/>
          </reference>
        </references>
      </pivotArea>
    </chartFormat>
    <chartFormat chart="19" format="0" series="1">
      <pivotArea type="data" outline="0" fieldPosition="0">
        <references count="2">
          <reference field="4294967294" count="1" selected="0">
            <x v="0"/>
          </reference>
          <reference field="20" count="1" selected="0">
            <x v="0"/>
          </reference>
        </references>
      </pivotArea>
    </chartFormat>
    <chartFormat chart="19" format="1" series="1">
      <pivotArea type="data" outline="0" fieldPosition="0">
        <references count="2">
          <reference field="4294967294" count="1" selected="0">
            <x v="1"/>
          </reference>
          <reference field="20" count="1" selected="0">
            <x v="0"/>
          </reference>
        </references>
      </pivotArea>
    </chartFormat>
    <chartFormat chart="19" format="2" series="1">
      <pivotArea type="data" outline="0" fieldPosition="0">
        <references count="2">
          <reference field="4294967294" count="1" selected="0">
            <x v="0"/>
          </reference>
          <reference field="20" count="1" selected="0">
            <x v="1"/>
          </reference>
        </references>
      </pivotArea>
    </chartFormat>
    <chartFormat chart="19" format="3" series="1">
      <pivotArea type="data" outline="0" fieldPosition="0">
        <references count="2">
          <reference field="4294967294" count="1" selected="0">
            <x v="1"/>
          </reference>
          <reference field="20" count="1" selected="0">
            <x v="1"/>
          </reference>
        </references>
      </pivotArea>
    </chartFormat>
    <chartFormat chart="22" format="8" series="1">
      <pivotArea type="data" outline="0" fieldPosition="0">
        <references count="2">
          <reference field="4294967294" count="1" selected="0">
            <x v="0"/>
          </reference>
          <reference field="20" count="1" selected="0">
            <x v="0"/>
          </reference>
        </references>
      </pivotArea>
    </chartFormat>
    <chartFormat chart="22" format="9" series="1">
      <pivotArea type="data" outline="0" fieldPosition="0">
        <references count="2">
          <reference field="4294967294" count="1" selected="0">
            <x v="1"/>
          </reference>
          <reference field="20" count="1" selected="0">
            <x v="0"/>
          </reference>
        </references>
      </pivotArea>
    </chartFormat>
    <chartFormat chart="22" format="10" series="1">
      <pivotArea type="data" outline="0" fieldPosition="0">
        <references count="2">
          <reference field="4294967294" count="1" selected="0">
            <x v="0"/>
          </reference>
          <reference field="20" count="1" selected="0">
            <x v="1"/>
          </reference>
        </references>
      </pivotArea>
    </chartFormat>
    <chartFormat chart="22" format="11" series="1">
      <pivotArea type="data" outline="0" fieldPosition="0">
        <references count="2">
          <reference field="4294967294" count="1" selected="0">
            <x v="1"/>
          </reference>
          <reference field="20" count="1" selected="0">
            <x v="1"/>
          </reference>
        </references>
      </pivotArea>
    </chartFormat>
    <chartFormat chart="28" format="16" series="1">
      <pivotArea type="data" outline="0" fieldPosition="0">
        <references count="2">
          <reference field="4294967294" count="1" selected="0">
            <x v="0"/>
          </reference>
          <reference field="20" count="1" selected="0">
            <x v="0"/>
          </reference>
        </references>
      </pivotArea>
    </chartFormat>
    <chartFormat chart="28" format="17" series="1">
      <pivotArea type="data" outline="0" fieldPosition="0">
        <references count="2">
          <reference field="4294967294" count="1" selected="0">
            <x v="1"/>
          </reference>
          <reference field="20" count="1" selected="0">
            <x v="0"/>
          </reference>
        </references>
      </pivotArea>
    </chartFormat>
    <chartFormat chart="28" format="18" series="1">
      <pivotArea type="data" outline="0" fieldPosition="0">
        <references count="2">
          <reference field="4294967294" count="1" selected="0">
            <x v="0"/>
          </reference>
          <reference field="20" count="1" selected="0">
            <x v="1"/>
          </reference>
        </references>
      </pivotArea>
    </chartFormat>
    <chartFormat chart="28" format="19" series="1">
      <pivotArea type="data" outline="0" fieldPosition="0">
        <references count="2">
          <reference field="4294967294" count="1" selected="0">
            <x v="1"/>
          </reference>
          <reference field="20" count="1" selected="0">
            <x v="1"/>
          </reference>
        </references>
      </pivotArea>
    </chartFormat>
    <chartFormat chart="33" format="24" series="1">
      <pivotArea type="data" outline="0" fieldPosition="0">
        <references count="2">
          <reference field="4294967294" count="1" selected="0">
            <x v="0"/>
          </reference>
          <reference field="20" count="1" selected="0">
            <x v="0"/>
          </reference>
        </references>
      </pivotArea>
    </chartFormat>
    <chartFormat chart="33" format="25" series="1">
      <pivotArea type="data" outline="0" fieldPosition="0">
        <references count="2">
          <reference field="4294967294" count="1" selected="0">
            <x v="1"/>
          </reference>
          <reference field="20" count="1" selected="0">
            <x v="0"/>
          </reference>
        </references>
      </pivotArea>
    </chartFormat>
    <chartFormat chart="33" format="26" series="1">
      <pivotArea type="data" outline="0" fieldPosition="0">
        <references count="2">
          <reference field="4294967294" count="1" selected="0">
            <x v="0"/>
          </reference>
          <reference field="20" count="1" selected="0">
            <x v="1"/>
          </reference>
        </references>
      </pivotArea>
    </chartFormat>
    <chartFormat chart="33" format="27" series="1">
      <pivotArea type="data" outline="0" fieldPosition="0">
        <references count="2">
          <reference field="4294967294" count="1" selected="0">
            <x v="1"/>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444CB6-3E4A-4F6B-9828-FF2F379AC2B8}" name="PivotTable2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CG25:CM32" firstHeaderRow="1" firstDataRow="3"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3"/>
        <item x="1"/>
        <item x="0"/>
        <item t="default"/>
      </items>
    </pivotField>
    <pivotField showAll="0"/>
    <pivotField showAll="0"/>
    <pivotField axis="axisCol" showAll="0">
      <items count="3">
        <item x="1"/>
        <item x="0"/>
        <item t="default"/>
      </items>
    </pivotField>
    <pivotField showAll="0"/>
    <pivotField showAll="0"/>
    <pivotField showAll="0"/>
    <pivotField showAll="0"/>
    <pivotField showAll="0"/>
    <pivotField showAll="0"/>
  </pivotFields>
  <rowFields count="1">
    <field x="13"/>
  </rowFields>
  <rowItems count="5">
    <i>
      <x v="2"/>
    </i>
    <i>
      <x v="1"/>
    </i>
    <i>
      <x/>
    </i>
    <i>
      <x v="3"/>
    </i>
    <i t="grand">
      <x/>
    </i>
  </rowItems>
  <colFields count="2">
    <field x="20"/>
    <field x="-2"/>
  </colFields>
  <colItems count="6">
    <i>
      <x/>
      <x/>
    </i>
    <i r="1" i="1">
      <x v="1"/>
    </i>
    <i>
      <x v="1"/>
      <x/>
    </i>
    <i r="1" i="1">
      <x v="1"/>
    </i>
    <i t="grand">
      <x/>
    </i>
    <i t="grand" i="1">
      <x/>
    </i>
  </colItems>
  <dataFields count="2">
    <dataField name="COUNT OF TICKET PENDING " fld="0" subtotal="count" baseField="17" baseItem="0"/>
    <dataField name="PERCENTAGE COMPLETE" fld="0" subtotal="count" showDataAs="percentOfRow" baseField="17" baseItem="0" numFmtId="10"/>
  </dataFields>
  <chartFormats count="28">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4" series="1">
      <pivotArea type="data" outline="0" fieldPosition="0">
        <references count="2">
          <reference field="4294967294" count="1" selected="0">
            <x v="1"/>
          </reference>
          <reference field="20" count="1" selected="0">
            <x v="1"/>
          </reference>
        </references>
      </pivotArea>
    </chartFormat>
    <chartFormat chart="0" format="5" series="1">
      <pivotArea type="data" outline="0" fieldPosition="0">
        <references count="2">
          <reference field="4294967294" count="1" selected="0">
            <x v="1"/>
          </reference>
          <reference field="20" count="1" selected="0">
            <x v="0"/>
          </reference>
        </references>
      </pivotArea>
    </chartFormat>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1"/>
          </reference>
          <reference field="20" count="1" selected="0">
            <x v="0"/>
          </reference>
        </references>
      </pivotArea>
    </chartFormat>
    <chartFormat chart="1" format="2" series="1">
      <pivotArea type="data" outline="0" fieldPosition="0">
        <references count="2">
          <reference field="4294967294" count="1" selected="0">
            <x v="0"/>
          </reference>
          <reference field="20" count="1" selected="0">
            <x v="1"/>
          </reference>
        </references>
      </pivotArea>
    </chartFormat>
    <chartFormat chart="1" format="3" series="1">
      <pivotArea type="data" outline="0" fieldPosition="0">
        <references count="2">
          <reference field="4294967294" count="1" selected="0">
            <x v="1"/>
          </reference>
          <reference field="20" count="1" selected="0">
            <x v="1"/>
          </reference>
        </references>
      </pivotArea>
    </chartFormat>
    <chartFormat chart="2" format="0" series="1">
      <pivotArea type="data" outline="0" fieldPosition="0">
        <references count="2">
          <reference field="4294967294" count="1" selected="0">
            <x v="0"/>
          </reference>
          <reference field="20" count="1" selected="0">
            <x v="0"/>
          </reference>
        </references>
      </pivotArea>
    </chartFormat>
    <chartFormat chart="2" format="1" series="1">
      <pivotArea type="data" outline="0" fieldPosition="0">
        <references count="2">
          <reference field="4294967294" count="1" selected="0">
            <x v="1"/>
          </reference>
          <reference field="20" count="1" selected="0">
            <x v="0"/>
          </reference>
        </references>
      </pivotArea>
    </chartFormat>
    <chartFormat chart="2" format="2" series="1">
      <pivotArea type="data" outline="0" fieldPosition="0">
        <references count="2">
          <reference field="4294967294" count="1" selected="0">
            <x v="0"/>
          </reference>
          <reference field="20" count="1" selected="0">
            <x v="1"/>
          </reference>
        </references>
      </pivotArea>
    </chartFormat>
    <chartFormat chart="2" format="3" series="1">
      <pivotArea type="data" outline="0" fieldPosition="0">
        <references count="2">
          <reference field="4294967294" count="1" selected="0">
            <x v="1"/>
          </reference>
          <reference field="20" count="1" selected="0">
            <x v="1"/>
          </reference>
        </references>
      </pivotArea>
    </chartFormat>
    <chartFormat chart="12" format="0" series="1">
      <pivotArea type="data" outline="0" fieldPosition="0">
        <references count="2">
          <reference field="4294967294" count="1" selected="0">
            <x v="0"/>
          </reference>
          <reference field="20" count="1" selected="0">
            <x v="0"/>
          </reference>
        </references>
      </pivotArea>
    </chartFormat>
    <chartFormat chart="12" format="1" series="1">
      <pivotArea type="data" outline="0" fieldPosition="0">
        <references count="2">
          <reference field="4294967294" count="1" selected="0">
            <x v="1"/>
          </reference>
          <reference field="20" count="1" selected="0">
            <x v="0"/>
          </reference>
        </references>
      </pivotArea>
    </chartFormat>
    <chartFormat chart="12" format="2" series="1">
      <pivotArea type="data" outline="0" fieldPosition="0">
        <references count="2">
          <reference field="4294967294" count="1" selected="0">
            <x v="0"/>
          </reference>
          <reference field="20" count="1" selected="0">
            <x v="1"/>
          </reference>
        </references>
      </pivotArea>
    </chartFormat>
    <chartFormat chart="12" format="3" series="1">
      <pivotArea type="data" outline="0" fieldPosition="0">
        <references count="2">
          <reference field="4294967294" count="1" selected="0">
            <x v="1"/>
          </reference>
          <reference field="20" count="1" selected="0">
            <x v="1"/>
          </reference>
        </references>
      </pivotArea>
    </chartFormat>
    <chartFormat chart="19" format="0" series="1">
      <pivotArea type="data" outline="0" fieldPosition="0">
        <references count="2">
          <reference field="4294967294" count="1" selected="0">
            <x v="0"/>
          </reference>
          <reference field="20" count="1" selected="0">
            <x v="0"/>
          </reference>
        </references>
      </pivotArea>
    </chartFormat>
    <chartFormat chart="19" format="1" series="1">
      <pivotArea type="data" outline="0" fieldPosition="0">
        <references count="2">
          <reference field="4294967294" count="1" selected="0">
            <x v="1"/>
          </reference>
          <reference field="20" count="1" selected="0">
            <x v="0"/>
          </reference>
        </references>
      </pivotArea>
    </chartFormat>
    <chartFormat chart="19" format="2" series="1">
      <pivotArea type="data" outline="0" fieldPosition="0">
        <references count="2">
          <reference field="4294967294" count="1" selected="0">
            <x v="0"/>
          </reference>
          <reference field="20" count="1" selected="0">
            <x v="1"/>
          </reference>
        </references>
      </pivotArea>
    </chartFormat>
    <chartFormat chart="19" format="3" series="1">
      <pivotArea type="data" outline="0" fieldPosition="0">
        <references count="2">
          <reference field="4294967294" count="1" selected="0">
            <x v="1"/>
          </reference>
          <reference field="20" count="1" selected="0">
            <x v="1"/>
          </reference>
        </references>
      </pivotArea>
    </chartFormat>
    <chartFormat chart="25" format="8" series="1">
      <pivotArea type="data" outline="0" fieldPosition="0">
        <references count="2">
          <reference field="4294967294" count="1" selected="0">
            <x v="0"/>
          </reference>
          <reference field="20" count="1" selected="0">
            <x v="0"/>
          </reference>
        </references>
      </pivotArea>
    </chartFormat>
    <chartFormat chart="25" format="9" series="1">
      <pivotArea type="data" outline="0" fieldPosition="0">
        <references count="2">
          <reference field="4294967294" count="1" selected="0">
            <x v="1"/>
          </reference>
          <reference field="20" count="1" selected="0">
            <x v="0"/>
          </reference>
        </references>
      </pivotArea>
    </chartFormat>
    <chartFormat chart="25" format="10" series="1">
      <pivotArea type="data" outline="0" fieldPosition="0">
        <references count="2">
          <reference field="4294967294" count="1" selected="0">
            <x v="0"/>
          </reference>
          <reference field="20" count="1" selected="0">
            <x v="1"/>
          </reference>
        </references>
      </pivotArea>
    </chartFormat>
    <chartFormat chart="25" format="11" series="1">
      <pivotArea type="data" outline="0" fieldPosition="0">
        <references count="2">
          <reference field="4294967294" count="1" selected="0">
            <x v="1"/>
          </reference>
          <reference field="20" count="1" selected="0">
            <x v="1"/>
          </reference>
        </references>
      </pivotArea>
    </chartFormat>
    <chartFormat chart="30" format="16" series="1">
      <pivotArea type="data" outline="0" fieldPosition="0">
        <references count="2">
          <reference field="4294967294" count="1" selected="0">
            <x v="0"/>
          </reference>
          <reference field="20" count="1" selected="0">
            <x v="0"/>
          </reference>
        </references>
      </pivotArea>
    </chartFormat>
    <chartFormat chart="30" format="17" series="1">
      <pivotArea type="data" outline="0" fieldPosition="0">
        <references count="2">
          <reference field="4294967294" count="1" selected="0">
            <x v="1"/>
          </reference>
          <reference field="20" count="1" selected="0">
            <x v="0"/>
          </reference>
        </references>
      </pivotArea>
    </chartFormat>
    <chartFormat chart="30" format="18" series="1">
      <pivotArea type="data" outline="0" fieldPosition="0">
        <references count="2">
          <reference field="4294967294" count="1" selected="0">
            <x v="0"/>
          </reference>
          <reference field="20" count="1" selected="0">
            <x v="1"/>
          </reference>
        </references>
      </pivotArea>
    </chartFormat>
    <chartFormat chart="30" format="19" series="1">
      <pivotArea type="data" outline="0" fieldPosition="0">
        <references count="2">
          <reference field="4294967294" count="1" selected="0">
            <x v="1"/>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95E3C9-0605-471A-A532-7C0477CDBB4E}" name="PivotTable2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CG14:CM21" firstHeaderRow="1" firstDataRow="3"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3">
        <item x="1"/>
        <item x="0"/>
        <item t="default"/>
      </items>
    </pivotField>
    <pivotField showAll="0"/>
    <pivotField showAll="0"/>
    <pivotField showAll="0"/>
    <pivotField showAll="0"/>
    <pivotField showAll="0"/>
    <pivotField showAll="0"/>
  </pivotFields>
  <rowFields count="1">
    <field x="17"/>
  </rowFields>
  <rowItems count="5">
    <i>
      <x v="3"/>
    </i>
    <i>
      <x/>
    </i>
    <i>
      <x v="2"/>
    </i>
    <i>
      <x v="1"/>
    </i>
    <i t="grand">
      <x/>
    </i>
  </rowItems>
  <colFields count="2">
    <field x="20"/>
    <field x="-2"/>
  </colFields>
  <colItems count="6">
    <i>
      <x/>
      <x/>
    </i>
    <i r="1" i="1">
      <x v="1"/>
    </i>
    <i>
      <x v="1"/>
      <x/>
    </i>
    <i r="1" i="1">
      <x v="1"/>
    </i>
    <i t="grand">
      <x/>
    </i>
    <i t="grand" i="1">
      <x/>
    </i>
  </colItems>
  <dataFields count="2">
    <dataField name="COUNT OF TICKET PENDING " fld="0" subtotal="count" baseField="17" baseItem="0"/>
    <dataField name="PERCENTAGE COMPLETE" fld="0" subtotal="count" showDataAs="percentOfRow" baseField="17" baseItem="0" numFmtId="10"/>
  </dataFields>
  <chartFormats count="21">
    <chartFormat chart="12" format="0" series="1">
      <pivotArea type="data" outline="0" fieldPosition="0">
        <references count="2">
          <reference field="4294967294" count="1" selected="0">
            <x v="0"/>
          </reference>
          <reference field="20" count="1" selected="0">
            <x v="0"/>
          </reference>
        </references>
      </pivotArea>
    </chartFormat>
    <chartFormat chart="12" format="1" series="1">
      <pivotArea type="data" outline="0" fieldPosition="0">
        <references count="2">
          <reference field="4294967294" count="1" selected="0">
            <x v="1"/>
          </reference>
          <reference field="20" count="1" selected="0">
            <x v="0"/>
          </reference>
        </references>
      </pivotArea>
    </chartFormat>
    <chartFormat chart="12" format="2" series="1">
      <pivotArea type="data" outline="0" fieldPosition="0">
        <references count="2">
          <reference field="4294967294" count="1" selected="0">
            <x v="0"/>
          </reference>
          <reference field="20" count="1" selected="0">
            <x v="1"/>
          </reference>
        </references>
      </pivotArea>
    </chartFormat>
    <chartFormat chart="12" format="3" series="1">
      <pivotArea type="data" outline="0" fieldPosition="0">
        <references count="2">
          <reference field="4294967294" count="1" selected="0">
            <x v="1"/>
          </reference>
          <reference field="20" count="1" selected="0">
            <x v="1"/>
          </reference>
        </references>
      </pivotArea>
    </chartFormat>
    <chartFormat chart="12" format="4">
      <pivotArea type="data" outline="0" fieldPosition="0">
        <references count="3">
          <reference field="4294967294" count="1" selected="0">
            <x v="1"/>
          </reference>
          <reference field="17" count="1" selected="0">
            <x v="3"/>
          </reference>
          <reference field="20" count="1" selected="0">
            <x v="1"/>
          </reference>
        </references>
      </pivotArea>
    </chartFormat>
    <chartFormat chart="12" format="5">
      <pivotArea type="data" outline="0" fieldPosition="0">
        <references count="3">
          <reference field="4294967294" count="1" selected="0">
            <x v="1"/>
          </reference>
          <reference field="17" count="1" selected="0">
            <x v="2"/>
          </reference>
          <reference field="20" count="1" selected="0">
            <x v="1"/>
          </reference>
        </references>
      </pivotArea>
    </chartFormat>
    <chartFormat chart="12" format="6">
      <pivotArea type="data" outline="0" fieldPosition="0">
        <references count="3">
          <reference field="4294967294" count="1" selected="0">
            <x v="1"/>
          </reference>
          <reference field="17" count="1" selected="0">
            <x v="3"/>
          </reference>
          <reference field="20" count="1" selected="0">
            <x v="0"/>
          </reference>
        </references>
      </pivotArea>
    </chartFormat>
    <chartFormat chart="24" format="14" series="1">
      <pivotArea type="data" outline="0" fieldPosition="0">
        <references count="2">
          <reference field="4294967294" count="1" selected="0">
            <x v="0"/>
          </reference>
          <reference field="20" count="1" selected="0">
            <x v="0"/>
          </reference>
        </references>
      </pivotArea>
    </chartFormat>
    <chartFormat chart="24" format="15" series="1">
      <pivotArea type="data" outline="0" fieldPosition="0">
        <references count="2">
          <reference field="4294967294" count="1" selected="0">
            <x v="1"/>
          </reference>
          <reference field="20" count="1" selected="0">
            <x v="0"/>
          </reference>
        </references>
      </pivotArea>
    </chartFormat>
    <chartFormat chart="24" format="16">
      <pivotArea type="data" outline="0" fieldPosition="0">
        <references count="3">
          <reference field="4294967294" count="1" selected="0">
            <x v="1"/>
          </reference>
          <reference field="17" count="1" selected="0">
            <x v="3"/>
          </reference>
          <reference field="20" count="1" selected="0">
            <x v="0"/>
          </reference>
        </references>
      </pivotArea>
    </chartFormat>
    <chartFormat chart="24" format="17" series="1">
      <pivotArea type="data" outline="0" fieldPosition="0">
        <references count="2">
          <reference field="4294967294" count="1" selected="0">
            <x v="0"/>
          </reference>
          <reference field="20" count="1" selected="0">
            <x v="1"/>
          </reference>
        </references>
      </pivotArea>
    </chartFormat>
    <chartFormat chart="24" format="18" series="1">
      <pivotArea type="data" outline="0" fieldPosition="0">
        <references count="2">
          <reference field="4294967294" count="1" selected="0">
            <x v="1"/>
          </reference>
          <reference field="20" count="1" selected="0">
            <x v="1"/>
          </reference>
        </references>
      </pivotArea>
    </chartFormat>
    <chartFormat chart="24" format="19">
      <pivotArea type="data" outline="0" fieldPosition="0">
        <references count="3">
          <reference field="4294967294" count="1" selected="0">
            <x v="1"/>
          </reference>
          <reference field="17" count="1" selected="0">
            <x v="3"/>
          </reference>
          <reference field="20" count="1" selected="0">
            <x v="1"/>
          </reference>
        </references>
      </pivotArea>
    </chartFormat>
    <chartFormat chart="24" format="20">
      <pivotArea type="data" outline="0" fieldPosition="0">
        <references count="3">
          <reference field="4294967294" count="1" selected="0">
            <x v="1"/>
          </reference>
          <reference field="17" count="1" selected="0">
            <x v="2"/>
          </reference>
          <reference field="20" count="1" selected="0">
            <x v="1"/>
          </reference>
        </references>
      </pivotArea>
    </chartFormat>
    <chartFormat chart="29" format="28" series="1">
      <pivotArea type="data" outline="0" fieldPosition="0">
        <references count="2">
          <reference field="4294967294" count="1" selected="0">
            <x v="0"/>
          </reference>
          <reference field="20" count="1" selected="0">
            <x v="0"/>
          </reference>
        </references>
      </pivotArea>
    </chartFormat>
    <chartFormat chart="29" format="29" series="1">
      <pivotArea type="data" outline="0" fieldPosition="0">
        <references count="2">
          <reference field="4294967294" count="1" selected="0">
            <x v="1"/>
          </reference>
          <reference field="20" count="1" selected="0">
            <x v="0"/>
          </reference>
        </references>
      </pivotArea>
    </chartFormat>
    <chartFormat chart="29" format="30">
      <pivotArea type="data" outline="0" fieldPosition="0">
        <references count="3">
          <reference field="4294967294" count="1" selected="0">
            <x v="1"/>
          </reference>
          <reference field="17" count="1" selected="0">
            <x v="3"/>
          </reference>
          <reference field="20" count="1" selected="0">
            <x v="0"/>
          </reference>
        </references>
      </pivotArea>
    </chartFormat>
    <chartFormat chart="29" format="31" series="1">
      <pivotArea type="data" outline="0" fieldPosition="0">
        <references count="2">
          <reference field="4294967294" count="1" selected="0">
            <x v="0"/>
          </reference>
          <reference field="20" count="1" selected="0">
            <x v="1"/>
          </reference>
        </references>
      </pivotArea>
    </chartFormat>
    <chartFormat chart="29" format="32" series="1">
      <pivotArea type="data" outline="0" fieldPosition="0">
        <references count="2">
          <reference field="4294967294" count="1" selected="0">
            <x v="1"/>
          </reference>
          <reference field="20" count="1" selected="0">
            <x v="1"/>
          </reference>
        </references>
      </pivotArea>
    </chartFormat>
    <chartFormat chart="29" format="33">
      <pivotArea type="data" outline="0" fieldPosition="0">
        <references count="3">
          <reference field="4294967294" count="1" selected="0">
            <x v="1"/>
          </reference>
          <reference field="17" count="1" selected="0">
            <x v="3"/>
          </reference>
          <reference field="20" count="1" selected="0">
            <x v="1"/>
          </reference>
        </references>
      </pivotArea>
    </chartFormat>
    <chartFormat chart="29" format="34">
      <pivotArea type="data" outline="0" fieldPosition="0">
        <references count="3">
          <reference field="4294967294" count="1" selected="0">
            <x v="1"/>
          </reference>
          <reference field="17"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3C6127-7D7A-4B59-929A-BC1C7DBE455F}" name="PivotTable2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C227:BH233" firstHeaderRow="1" firstDataRow="2"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items count="12">
        <item x="8"/>
        <item x="6"/>
        <item x="1"/>
        <item x="4"/>
        <item x="3"/>
        <item x="7"/>
        <item x="5"/>
        <item x="2"/>
        <item x="9"/>
        <item x="0"/>
        <item x="10"/>
        <item t="default"/>
      </items>
    </pivotField>
    <pivotField showAll="0"/>
    <pivotField showAll="0"/>
    <pivotField showAll="0"/>
    <pivotField showAll="0"/>
    <pivotField axis="axisCol" showAll="0">
      <items count="5">
        <item x="0"/>
        <item x="2"/>
        <item x="1"/>
        <item x="3"/>
        <item t="default"/>
      </items>
    </pivotField>
    <pivotField showAll="0"/>
    <pivotField showAll="0"/>
    <pivotField showAll="0"/>
    <pivotField axis="axisRow" showAll="0">
      <items count="5">
        <item x="2"/>
        <item x="3"/>
        <item x="1"/>
        <item x="0"/>
        <item t="default"/>
      </items>
    </pivotField>
    <pivotField showAll="0">
      <items count="15">
        <item x="4"/>
        <item x="0"/>
        <item x="3"/>
        <item x="10"/>
        <item x="8"/>
        <item x="2"/>
        <item x="9"/>
        <item x="7"/>
        <item x="12"/>
        <item x="6"/>
        <item x="5"/>
        <item x="11"/>
        <item x="13"/>
        <item x="1"/>
        <item t="default"/>
      </items>
    </pivotField>
    <pivotField showAll="0"/>
    <pivotField showAll="0">
      <items count="3">
        <item x="1"/>
        <item x="0"/>
        <item t="default"/>
      </items>
    </pivotField>
    <pivotField showAll="0"/>
    <pivotField showAll="0"/>
    <pivotField showAll="0"/>
    <pivotField showAll="0"/>
    <pivotField showAll="0"/>
    <pivotField showAll="0"/>
  </pivotFields>
  <rowFields count="1">
    <field x="17"/>
  </rowFields>
  <rowItems count="5">
    <i>
      <x/>
    </i>
    <i>
      <x v="1"/>
    </i>
    <i>
      <x v="2"/>
    </i>
    <i>
      <x v="3"/>
    </i>
    <i t="grand">
      <x/>
    </i>
  </rowItems>
  <colFields count="1">
    <field x="13"/>
  </colFields>
  <colItems count="5">
    <i>
      <x/>
    </i>
    <i>
      <x v="1"/>
    </i>
    <i>
      <x v="2"/>
    </i>
    <i>
      <x v="3"/>
    </i>
    <i t="grand">
      <x/>
    </i>
  </colItems>
  <dataFields count="1">
    <dataField name="Count of Ticket No" fld="0" subtotal="count" baseField="17" baseItem="1"/>
  </dataFields>
  <formats count="2">
    <format dxfId="14">
      <pivotArea outline="0" collapsedLevelsAreSubtotals="1" fieldPosition="0"/>
    </format>
    <format dxfId="3">
      <pivotArea type="all" dataOnly="0" outline="0" fieldPosition="0"/>
    </format>
  </formats>
  <conditionalFormats count="1">
    <conditionalFormat priority="1">
      <pivotAreas count="1">
        <pivotArea type="data" collapsedLevelsAreSubtotals="1" fieldPosition="0">
          <references count="3">
            <reference field="4294967294" count="1" selected="0">
              <x v="0"/>
            </reference>
            <reference field="13" count="4" selected="0">
              <x v="0"/>
              <x v="1"/>
              <x v="2"/>
              <x v="3"/>
            </reference>
            <reference field="17"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2DBB03-FEE7-42B2-BDF6-1876BDD6334B}" name="PivotTable2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C219:BH225" firstHeaderRow="1" firstDataRow="2" firstDataCol="1"/>
  <pivotFields count="27">
    <pivotField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items count="12">
        <item x="8"/>
        <item x="6"/>
        <item x="1"/>
        <item x="4"/>
        <item x="3"/>
        <item x="7"/>
        <item x="5"/>
        <item x="2"/>
        <item x="9"/>
        <item x="0"/>
        <item x="10"/>
        <item t="default"/>
      </items>
    </pivotField>
    <pivotField showAll="0"/>
    <pivotField showAll="0"/>
    <pivotField showAll="0"/>
    <pivotField showAll="0"/>
    <pivotField axis="axisCol" showAll="0">
      <items count="5">
        <item x="0"/>
        <item x="2"/>
        <item x="1"/>
        <item x="3"/>
        <item t="default"/>
      </items>
    </pivotField>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15">
        <item x="4"/>
        <item x="0"/>
        <item x="3"/>
        <item x="10"/>
        <item x="8"/>
        <item x="2"/>
        <item x="9"/>
        <item x="7"/>
        <item x="12"/>
        <item x="6"/>
        <item x="5"/>
        <item x="11"/>
        <item x="13"/>
        <item x="1"/>
        <item t="default"/>
      </items>
    </pivotField>
    <pivotField showAll="0"/>
    <pivotField showAll="0">
      <items count="3">
        <item x="1"/>
        <item x="0"/>
        <item t="default"/>
      </items>
    </pivotField>
    <pivotField showAll="0"/>
    <pivotField showAll="0"/>
    <pivotField dataField="1" showAll="0"/>
    <pivotField showAll="0"/>
    <pivotField showAll="0"/>
    <pivotField showAll="0"/>
  </pivotFields>
  <rowFields count="1">
    <field x="17"/>
  </rowFields>
  <rowItems count="5">
    <i>
      <x v="2"/>
    </i>
    <i>
      <x v="1"/>
    </i>
    <i>
      <x v="3"/>
    </i>
    <i>
      <x/>
    </i>
    <i t="grand">
      <x/>
    </i>
  </rowItems>
  <colFields count="1">
    <field x="13"/>
  </colFields>
  <colItems count="5">
    <i>
      <x/>
    </i>
    <i>
      <x v="1"/>
    </i>
    <i>
      <x v="2"/>
    </i>
    <i>
      <x v="3"/>
    </i>
    <i t="grand">
      <x/>
    </i>
  </colItems>
  <dataFields count="1">
    <dataField name="Average of Days_In_Solved" fld="23" subtotal="average" baseField="17" baseItem="0" numFmtId="2"/>
  </dataFields>
  <formats count="11">
    <format dxfId="15">
      <pivotArea outline="0" collapsedLevelsAreSubtotals="1" fieldPosition="0"/>
    </format>
    <format dxfId="13">
      <pivotArea type="all" dataOnly="0" outline="0" fieldPosition="0"/>
    </format>
    <format dxfId="12">
      <pivotArea outline="0" collapsedLevelsAreSubtotals="1" fieldPosition="0"/>
    </format>
    <format dxfId="11">
      <pivotArea type="origin" dataOnly="0" labelOnly="1" outline="0" fieldPosition="0"/>
    </format>
    <format dxfId="10">
      <pivotArea field="13" type="button" dataOnly="0" labelOnly="1" outline="0" axis="axisCol" fieldPosition="0"/>
    </format>
    <format dxfId="9">
      <pivotArea type="topRight" dataOnly="0" labelOnly="1" outline="0" fieldPosition="0"/>
    </format>
    <format dxfId="8">
      <pivotArea field="17" type="button" dataOnly="0" labelOnly="1" outline="0" axis="axisRow" fieldPosition="0"/>
    </format>
    <format dxfId="7">
      <pivotArea dataOnly="0" labelOnly="1" fieldPosition="0">
        <references count="1">
          <reference field="17" count="0"/>
        </references>
      </pivotArea>
    </format>
    <format dxfId="6">
      <pivotArea dataOnly="0" labelOnly="1" grandRow="1" outline="0" fieldPosition="0"/>
    </format>
    <format dxfId="5">
      <pivotArea dataOnly="0" labelOnly="1" fieldPosition="0">
        <references count="1">
          <reference field="13" count="0"/>
        </references>
      </pivotArea>
    </format>
    <format dxfId="4">
      <pivotArea dataOnly="0" labelOnly="1" grandCol="1" outline="0" fieldPosition="0"/>
    </format>
  </formats>
  <conditionalFormats count="2">
    <conditionalFormat priority="3">
      <pivotAreas count="1">
        <pivotArea type="data" collapsedLevelsAreSubtotals="1" fieldPosition="0">
          <references count="3">
            <reference field="4294967294" count="1" selected="0">
              <x v="0"/>
            </reference>
            <reference field="13" count="4" selected="0">
              <x v="0"/>
              <x v="1"/>
              <x v="2"/>
              <x v="3"/>
            </reference>
            <reference field="17" count="4">
              <x v="0"/>
              <x v="1"/>
              <x v="2"/>
              <x v="3"/>
            </reference>
          </references>
        </pivotArea>
      </pivotAreas>
    </conditionalFormat>
    <conditionalFormat priority="2">
      <pivotAreas count="1">
        <pivotArea type="data" collapsedLevelsAreSubtotals="1" fieldPosition="0">
          <references count="3">
            <reference field="4294967294" count="1" selected="0">
              <x v="0"/>
            </reference>
            <reference field="13" count="4" selected="0">
              <x v="0"/>
              <x v="1"/>
              <x v="2"/>
              <x v="3"/>
            </reference>
            <reference field="17"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4B7E0D-5026-4500-86B1-07D564638DCF}" name="PivotTable2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Z195:BA207" firstHeaderRow="1" firstDataRow="1" firstDataCol="1"/>
  <pivotFields count="27">
    <pivotField showAll="0">
      <items count="226">
        <item x="83"/>
        <item x="29"/>
        <item x="77"/>
        <item x="96"/>
        <item x="51"/>
        <item x="98"/>
        <item x="175"/>
        <item x="4"/>
        <item x="55"/>
        <item x="7"/>
        <item x="197"/>
        <item x="120"/>
        <item x="74"/>
        <item x="3"/>
        <item x="179"/>
        <item x="31"/>
        <item x="85"/>
        <item x="151"/>
        <item x="123"/>
        <item x="18"/>
        <item x="157"/>
        <item x="8"/>
        <item x="58"/>
        <item x="79"/>
        <item x="106"/>
        <item x="174"/>
        <item x="211"/>
        <item x="94"/>
        <item x="82"/>
        <item x="126"/>
        <item x="136"/>
        <item x="76"/>
        <item x="90"/>
        <item x="70"/>
        <item x="178"/>
        <item x="93"/>
        <item x="212"/>
        <item x="100"/>
        <item x="184"/>
        <item x="103"/>
        <item x="218"/>
        <item x="128"/>
        <item x="188"/>
        <item x="148"/>
        <item x="216"/>
        <item x="210"/>
        <item x="48"/>
        <item x="72"/>
        <item x="91"/>
        <item x="186"/>
        <item x="199"/>
        <item x="165"/>
        <item x="80"/>
        <item x="20"/>
        <item x="5"/>
        <item x="24"/>
        <item x="172"/>
        <item x="205"/>
        <item x="37"/>
        <item x="69"/>
        <item x="183"/>
        <item x="147"/>
        <item x="97"/>
        <item x="122"/>
        <item x="208"/>
        <item x="156"/>
        <item x="115"/>
        <item x="143"/>
        <item x="104"/>
        <item x="131"/>
        <item x="110"/>
        <item x="117"/>
        <item x="60"/>
        <item x="44"/>
        <item x="176"/>
        <item x="181"/>
        <item x="201"/>
        <item x="13"/>
        <item x="95"/>
        <item x="146"/>
        <item x="162"/>
        <item x="138"/>
        <item x="203"/>
        <item x="133"/>
        <item x="52"/>
        <item x="25"/>
        <item x="223"/>
        <item x="6"/>
        <item x="22"/>
        <item x="189"/>
        <item x="213"/>
        <item x="222"/>
        <item x="207"/>
        <item x="114"/>
        <item x="67"/>
        <item x="195"/>
        <item x="16"/>
        <item x="99"/>
        <item x="160"/>
        <item x="38"/>
        <item x="9"/>
        <item x="101"/>
        <item x="84"/>
        <item x="204"/>
        <item x="113"/>
        <item x="32"/>
        <item x="10"/>
        <item x="65"/>
        <item x="168"/>
        <item x="33"/>
        <item x="64"/>
        <item x="87"/>
        <item x="59"/>
        <item x="140"/>
        <item x="42"/>
        <item x="71"/>
        <item x="119"/>
        <item x="108"/>
        <item x="49"/>
        <item x="61"/>
        <item x="121"/>
        <item x="11"/>
        <item x="155"/>
        <item x="135"/>
        <item x="130"/>
        <item x="116"/>
        <item x="109"/>
        <item x="152"/>
        <item x="45"/>
        <item x="150"/>
        <item x="169"/>
        <item x="139"/>
        <item x="141"/>
        <item x="159"/>
        <item x="88"/>
        <item x="111"/>
        <item x="30"/>
        <item x="112"/>
        <item x="209"/>
        <item x="23"/>
        <item x="202"/>
        <item x="66"/>
        <item x="149"/>
        <item x="129"/>
        <item x="219"/>
        <item x="145"/>
        <item x="21"/>
        <item x="193"/>
        <item x="73"/>
        <item x="217"/>
        <item x="14"/>
        <item x="171"/>
        <item x="56"/>
        <item x="1"/>
        <item x="102"/>
        <item x="28"/>
        <item x="215"/>
        <item x="41"/>
        <item x="105"/>
        <item x="54"/>
        <item x="12"/>
        <item x="164"/>
        <item x="170"/>
        <item x="46"/>
        <item x="35"/>
        <item x="191"/>
        <item x="192"/>
        <item x="206"/>
        <item x="173"/>
        <item x="198"/>
        <item x="17"/>
        <item x="81"/>
        <item x="161"/>
        <item x="75"/>
        <item x="158"/>
        <item x="15"/>
        <item x="50"/>
        <item x="36"/>
        <item x="167"/>
        <item x="118"/>
        <item x="163"/>
        <item x="39"/>
        <item x="124"/>
        <item x="185"/>
        <item x="63"/>
        <item x="214"/>
        <item x="182"/>
        <item x="57"/>
        <item x="53"/>
        <item x="196"/>
        <item x="2"/>
        <item x="224"/>
        <item x="43"/>
        <item x="166"/>
        <item x="180"/>
        <item x="187"/>
        <item x="132"/>
        <item x="19"/>
        <item x="125"/>
        <item x="134"/>
        <item x="86"/>
        <item x="47"/>
        <item x="107"/>
        <item x="40"/>
        <item x="92"/>
        <item x="220"/>
        <item x="34"/>
        <item x="200"/>
        <item x="154"/>
        <item x="26"/>
        <item x="144"/>
        <item x="142"/>
        <item x="62"/>
        <item x="27"/>
        <item x="0"/>
        <item x="68"/>
        <item x="190"/>
        <item x="221"/>
        <item x="177"/>
        <item x="153"/>
        <item x="194"/>
        <item x="127"/>
        <item x="137"/>
        <item x="78"/>
        <item x="89"/>
        <item t="default"/>
      </items>
    </pivotField>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axis="axisRow" showAll="0" sortType="descending">
      <items count="12">
        <item x="8"/>
        <item x="6"/>
        <item x="1"/>
        <item x="4"/>
        <item x="3"/>
        <item x="7"/>
        <item x="5"/>
        <item x="2"/>
        <item x="9"/>
        <item x="0"/>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
        <item x="0"/>
        <item t="default"/>
      </items>
    </pivotField>
    <pivotField showAll="0">
      <items count="5">
        <item x="0"/>
        <item x="2"/>
        <item x="1"/>
        <item x="3"/>
        <item t="default"/>
      </items>
    </pivotField>
    <pivotField showAll="0"/>
    <pivotField showAll="0"/>
    <pivotField showAll="0"/>
    <pivotField showAll="0">
      <items count="5">
        <item x="2"/>
        <item x="3"/>
        <item x="1"/>
        <item x="0"/>
        <item t="default"/>
      </items>
    </pivotField>
    <pivotField showAll="0" sortType="descending">
      <items count="15">
        <item x="4"/>
        <item x="0"/>
        <item x="3"/>
        <item x="10"/>
        <item x="8"/>
        <item x="2"/>
        <item x="9"/>
        <item x="7"/>
        <item x="12"/>
        <item x="6"/>
        <item x="5"/>
        <item x="11"/>
        <item x="13"/>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dataField="1" showAll="0"/>
    <pivotField showAll="0">
      <items count="6">
        <item x="1"/>
        <item x="3"/>
        <item x="4"/>
        <item h="1" x="0"/>
        <item h="1" x="2"/>
        <item t="default"/>
      </items>
    </pivotField>
    <pivotField showAll="0"/>
    <pivotField showAll="0">
      <items count="4">
        <item x="0"/>
        <item x="2"/>
        <item h="1" x="1"/>
        <item t="default"/>
      </items>
    </pivotField>
  </pivotFields>
  <rowFields count="1">
    <field x="8"/>
  </rowFields>
  <rowItems count="12">
    <i>
      <x v="8"/>
    </i>
    <i>
      <x v="9"/>
    </i>
    <i>
      <x v="5"/>
    </i>
    <i>
      <x v="1"/>
    </i>
    <i>
      <x v="4"/>
    </i>
    <i>
      <x v="3"/>
    </i>
    <i>
      <x v="7"/>
    </i>
    <i>
      <x v="2"/>
    </i>
    <i>
      <x/>
    </i>
    <i>
      <x v="6"/>
    </i>
    <i>
      <x v="10"/>
    </i>
    <i t="grand">
      <x/>
    </i>
  </rowItems>
  <colItems count="1">
    <i/>
  </colItems>
  <dataFields count="1">
    <dataField name="Average of Days_In_Solved" fld="23" subtotal="average" baseField="13" baseItem="0"/>
  </dataFields>
  <formats count="1">
    <format dxfId="16">
      <pivotArea collapsedLevelsAreSubtotals="1" fieldPosition="0">
        <references count="1">
          <reference field="8" count="0"/>
        </references>
      </pivotArea>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80A217-09C6-463B-86A5-416D243C6AF8}" name="PivotTable1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Z175:BC188" firstHeaderRow="1" firstDataRow="2"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axis="axisRow" showAll="0" sortType="descending">
      <items count="12">
        <item x="8"/>
        <item x="6"/>
        <item x="1"/>
        <item x="4"/>
        <item x="3"/>
        <item x="7"/>
        <item x="5"/>
        <item x="2"/>
        <item x="9"/>
        <item x="0"/>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
        <item x="0"/>
        <item t="default"/>
      </items>
    </pivotField>
    <pivotField showAll="0">
      <items count="5">
        <item x="0"/>
        <item x="2"/>
        <item x="1"/>
        <item x="3"/>
        <item t="default"/>
      </items>
    </pivotField>
    <pivotField showAll="0"/>
    <pivotField showAll="0"/>
    <pivotField showAll="0"/>
    <pivotField showAll="0">
      <items count="5">
        <item x="2"/>
        <item x="3"/>
        <item x="1"/>
        <item x="0"/>
        <item t="default"/>
      </items>
    </pivotField>
    <pivotField showAll="0" sortType="descending">
      <items count="15">
        <item x="4"/>
        <item x="0"/>
        <item x="3"/>
        <item x="10"/>
        <item x="8"/>
        <item x="2"/>
        <item x="9"/>
        <item x="7"/>
        <item x="12"/>
        <item x="6"/>
        <item x="5"/>
        <item x="11"/>
        <item x="13"/>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showAll="0">
      <items count="6">
        <item x="1"/>
        <item x="3"/>
        <item x="4"/>
        <item h="1" x="0"/>
        <item h="1" x="2"/>
        <item t="default"/>
      </items>
    </pivotField>
    <pivotField showAll="0"/>
    <pivotField axis="axisCol" showAll="0">
      <items count="4">
        <item x="0"/>
        <item x="2"/>
        <item h="1" x="1"/>
        <item t="default"/>
      </items>
    </pivotField>
  </pivotFields>
  <rowFields count="1">
    <field x="8"/>
  </rowFields>
  <rowItems count="12">
    <i>
      <x v="1"/>
    </i>
    <i>
      <x v="4"/>
    </i>
    <i>
      <x v="9"/>
    </i>
    <i>
      <x v="3"/>
    </i>
    <i>
      <x v="2"/>
    </i>
    <i>
      <x v="6"/>
    </i>
    <i>
      <x v="10"/>
    </i>
    <i>
      <x/>
    </i>
    <i>
      <x v="8"/>
    </i>
    <i>
      <x v="5"/>
    </i>
    <i>
      <x v="7"/>
    </i>
    <i t="grand">
      <x/>
    </i>
  </rowItems>
  <colFields count="1">
    <field x="26"/>
  </colFields>
  <colItems count="3">
    <i>
      <x/>
    </i>
    <i>
      <x v="1"/>
    </i>
    <i t="grand">
      <x/>
    </i>
  </colItems>
  <dataFields count="1">
    <dataField name="Count of Ticket No" fld="0" subtotal="count" baseField="13" baseItem="0"/>
  </dataFields>
  <chartFormats count="20">
    <chartFormat chart="0" format="0" series="1">
      <pivotArea type="data" outline="0" fieldPosition="0">
        <references count="2">
          <reference field="4294967294" count="1" selected="0">
            <x v="0"/>
          </reference>
          <reference field="26" count="1" selected="0">
            <x v="0"/>
          </reference>
        </references>
      </pivotArea>
    </chartFormat>
    <chartFormat chart="0" format="1" series="1">
      <pivotArea type="data" outline="0" fieldPosition="0">
        <references count="2">
          <reference field="4294967294" count="1" selected="0">
            <x v="0"/>
          </reference>
          <reference field="26" count="1" selected="0">
            <x v="1"/>
          </reference>
        </references>
      </pivotArea>
    </chartFormat>
    <chartFormat chart="3" format="4" series="1">
      <pivotArea type="data" outline="0" fieldPosition="0">
        <references count="2">
          <reference field="4294967294" count="1" selected="0">
            <x v="0"/>
          </reference>
          <reference field="26" count="1" selected="0">
            <x v="0"/>
          </reference>
        </references>
      </pivotArea>
    </chartFormat>
    <chartFormat chart="3" format="5" series="1">
      <pivotArea type="data" outline="0" fieldPosition="0">
        <references count="2">
          <reference field="4294967294" count="1" selected="0">
            <x v="0"/>
          </reference>
          <reference field="26" count="1" selected="0">
            <x v="1"/>
          </reference>
        </references>
      </pivotArea>
    </chartFormat>
    <chartFormat chart="6" format="8" series="1">
      <pivotArea type="data" outline="0" fieldPosition="0">
        <references count="2">
          <reference field="4294967294" count="1" selected="0">
            <x v="0"/>
          </reference>
          <reference field="26" count="1" selected="0">
            <x v="0"/>
          </reference>
        </references>
      </pivotArea>
    </chartFormat>
    <chartFormat chart="6" format="9" series="1">
      <pivotArea type="data" outline="0" fieldPosition="0">
        <references count="2">
          <reference field="4294967294" count="1" selected="0">
            <x v="0"/>
          </reference>
          <reference field="26" count="1" selected="0">
            <x v="1"/>
          </reference>
        </references>
      </pivotArea>
    </chartFormat>
    <chartFormat chart="12" format="4" series="1">
      <pivotArea type="data" outline="0" fieldPosition="0">
        <references count="2">
          <reference field="4294967294" count="1" selected="0">
            <x v="0"/>
          </reference>
          <reference field="26" count="1" selected="0">
            <x v="0"/>
          </reference>
        </references>
      </pivotArea>
    </chartFormat>
    <chartFormat chart="12" format="5" series="1">
      <pivotArea type="data" outline="0" fieldPosition="0">
        <references count="2">
          <reference field="4294967294" count="1" selected="0">
            <x v="0"/>
          </reference>
          <reference field="26" count="1" selected="0">
            <x v="1"/>
          </reference>
        </references>
      </pivotArea>
    </chartFormat>
    <chartFormat chart="12" format="6" series="1">
      <pivotArea type="data" outline="0" fieldPosition="0">
        <references count="1">
          <reference field="4294967294" count="1" selected="0">
            <x v="0"/>
          </reference>
        </references>
      </pivotArea>
    </chartFormat>
    <chartFormat chart="15" format="9" series="1">
      <pivotArea type="data" outline="0" fieldPosition="0">
        <references count="2">
          <reference field="4294967294" count="1" selected="0">
            <x v="0"/>
          </reference>
          <reference field="26" count="1" selected="0">
            <x v="0"/>
          </reference>
        </references>
      </pivotArea>
    </chartFormat>
    <chartFormat chart="15" format="10" series="1">
      <pivotArea type="data" outline="0" fieldPosition="0">
        <references count="2">
          <reference field="4294967294" count="1" selected="0">
            <x v="0"/>
          </reference>
          <reference field="26" count="1" selected="0">
            <x v="1"/>
          </reference>
        </references>
      </pivotArea>
    </chartFormat>
    <chartFormat chart="16" format="0" series="1">
      <pivotArea type="data" outline="0" fieldPosition="0">
        <references count="2">
          <reference field="4294967294" count="1" selected="0">
            <x v="0"/>
          </reference>
          <reference field="26" count="1" selected="0">
            <x v="0"/>
          </reference>
        </references>
      </pivotArea>
    </chartFormat>
    <chartFormat chart="16" format="1" series="1">
      <pivotArea type="data" outline="0" fieldPosition="0">
        <references count="2">
          <reference field="4294967294" count="1" selected="0">
            <x v="0"/>
          </reference>
          <reference field="26" count="1" selected="0">
            <x v="1"/>
          </reference>
        </references>
      </pivotArea>
    </chartFormat>
    <chartFormat chart="20" format="4" series="1">
      <pivotArea type="data" outline="0" fieldPosition="0">
        <references count="2">
          <reference field="4294967294" count="1" selected="0">
            <x v="0"/>
          </reference>
          <reference field="26" count="1" selected="0">
            <x v="0"/>
          </reference>
        </references>
      </pivotArea>
    </chartFormat>
    <chartFormat chart="20" format="5" series="1">
      <pivotArea type="data" outline="0" fieldPosition="0">
        <references count="2">
          <reference field="4294967294" count="1" selected="0">
            <x v="0"/>
          </reference>
          <reference field="26" count="1" selected="0">
            <x v="1"/>
          </reference>
        </references>
      </pivotArea>
    </chartFormat>
    <chartFormat chart="28" format="12" series="1">
      <pivotArea type="data" outline="0" fieldPosition="0">
        <references count="2">
          <reference field="4294967294" count="1" selected="0">
            <x v="0"/>
          </reference>
          <reference field="26" count="1" selected="0">
            <x v="0"/>
          </reference>
        </references>
      </pivotArea>
    </chartFormat>
    <chartFormat chart="28" format="13" series="1">
      <pivotArea type="data" outline="0" fieldPosition="0">
        <references count="2">
          <reference field="4294967294" count="1" selected="0">
            <x v="0"/>
          </reference>
          <reference field="26" count="1" selected="0">
            <x v="1"/>
          </reference>
        </references>
      </pivotArea>
    </chartFormat>
    <chartFormat chart="28" format="1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1049AD-1E86-40CA-A111-5FAAD6C4CCFB}" name="PivotTable1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Z156:BD168" firstHeaderRow="1" firstDataRow="2"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axis="axisRow" showAll="0" sortType="descending">
      <items count="12">
        <item x="8"/>
        <item x="6"/>
        <item x="1"/>
        <item x="4"/>
        <item x="3"/>
        <item x="7"/>
        <item x="5"/>
        <item x="2"/>
        <item x="9"/>
        <item x="0"/>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
        <item x="0"/>
        <item t="default"/>
      </items>
    </pivotField>
    <pivotField showAll="0">
      <items count="5">
        <item x="0"/>
        <item x="2"/>
        <item x="1"/>
        <item x="3"/>
        <item t="default"/>
      </items>
    </pivotField>
    <pivotField showAll="0"/>
    <pivotField showAll="0"/>
    <pivotField showAll="0"/>
    <pivotField showAll="0">
      <items count="5">
        <item x="2"/>
        <item x="3"/>
        <item x="1"/>
        <item x="0"/>
        <item t="default"/>
      </items>
    </pivotField>
    <pivotField showAll="0" sortType="descending">
      <items count="15">
        <item x="4"/>
        <item x="0"/>
        <item x="3"/>
        <item x="10"/>
        <item x="8"/>
        <item x="2"/>
        <item x="9"/>
        <item x="7"/>
        <item x="12"/>
        <item x="6"/>
        <item x="5"/>
        <item x="11"/>
        <item x="13"/>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axis="axisCol" showAll="0">
      <items count="6">
        <item x="1"/>
        <item x="3"/>
        <item x="4"/>
        <item h="1" x="0"/>
        <item h="1" x="2"/>
        <item t="default"/>
      </items>
    </pivotField>
    <pivotField showAll="0"/>
    <pivotField showAll="0"/>
  </pivotFields>
  <rowFields count="1">
    <field x="8"/>
  </rowFields>
  <rowItems count="11">
    <i>
      <x v="3"/>
    </i>
    <i>
      <x v="5"/>
    </i>
    <i>
      <x v="4"/>
    </i>
    <i>
      <x/>
    </i>
    <i>
      <x v="6"/>
    </i>
    <i>
      <x v="7"/>
    </i>
    <i>
      <x v="1"/>
    </i>
    <i>
      <x v="2"/>
    </i>
    <i>
      <x v="9"/>
    </i>
    <i>
      <x v="8"/>
    </i>
    <i t="grand">
      <x/>
    </i>
  </rowItems>
  <colFields count="1">
    <field x="24"/>
  </colFields>
  <colItems count="4">
    <i>
      <x/>
    </i>
    <i>
      <x v="1"/>
    </i>
    <i>
      <x v="2"/>
    </i>
    <i t="grand">
      <x/>
    </i>
  </colItems>
  <dataFields count="1">
    <dataField name="Count of Ticket No" fld="0" subtotal="count" baseField="13" baseItem="0"/>
  </dataFields>
  <chartFormats count="30">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 chart="3" format="6" series="1">
      <pivotArea type="data" outline="0" fieldPosition="0">
        <references count="2">
          <reference field="4294967294" count="1" selected="0">
            <x v="0"/>
          </reference>
          <reference field="24" count="1" selected="0">
            <x v="0"/>
          </reference>
        </references>
      </pivotArea>
    </chartFormat>
    <chartFormat chart="3" format="7" series="1">
      <pivotArea type="data" outline="0" fieldPosition="0">
        <references count="2">
          <reference field="4294967294" count="1" selected="0">
            <x v="0"/>
          </reference>
          <reference field="24" count="1" selected="0">
            <x v="1"/>
          </reference>
        </references>
      </pivotArea>
    </chartFormat>
    <chartFormat chart="3" format="8" series="1">
      <pivotArea type="data" outline="0" fieldPosition="0">
        <references count="2">
          <reference field="4294967294" count="1" selected="0">
            <x v="0"/>
          </reference>
          <reference field="24" count="1" selected="0">
            <x v="2"/>
          </reference>
        </references>
      </pivotArea>
    </chartFormat>
    <chartFormat chart="4" format="3" series="1">
      <pivotArea type="data" outline="0" fieldPosition="0">
        <references count="2">
          <reference field="4294967294" count="1" selected="0">
            <x v="0"/>
          </reference>
          <reference field="24" count="1" selected="0">
            <x v="0"/>
          </reference>
        </references>
      </pivotArea>
    </chartFormat>
    <chartFormat chart="4" format="4" series="1">
      <pivotArea type="data" outline="0" fieldPosition="0">
        <references count="2">
          <reference field="4294967294" count="1" selected="0">
            <x v="0"/>
          </reference>
          <reference field="24" count="1" selected="0">
            <x v="1"/>
          </reference>
        </references>
      </pivotArea>
    </chartFormat>
    <chartFormat chart="4" format="5" series="1">
      <pivotArea type="data" outline="0" fieldPosition="0">
        <references count="2">
          <reference field="4294967294" count="1" selected="0">
            <x v="0"/>
          </reference>
          <reference field="24" count="1" selected="0">
            <x v="2"/>
          </reference>
        </references>
      </pivotArea>
    </chartFormat>
    <chartFormat chart="7" format="12" series="1">
      <pivotArea type="data" outline="0" fieldPosition="0">
        <references count="2">
          <reference field="4294967294" count="1" selected="0">
            <x v="0"/>
          </reference>
          <reference field="24" count="1" selected="0">
            <x v="0"/>
          </reference>
        </references>
      </pivotArea>
    </chartFormat>
    <chartFormat chart="7" format="13" series="1">
      <pivotArea type="data" outline="0" fieldPosition="0">
        <references count="2">
          <reference field="4294967294" count="1" selected="0">
            <x v="0"/>
          </reference>
          <reference field="24" count="1" selected="0">
            <x v="1"/>
          </reference>
        </references>
      </pivotArea>
    </chartFormat>
    <chartFormat chart="7" format="14" series="1">
      <pivotArea type="data" outline="0" fieldPosition="0">
        <references count="2">
          <reference field="4294967294" count="1" selected="0">
            <x v="0"/>
          </reference>
          <reference field="24" count="1" selected="0">
            <x v="2"/>
          </reference>
        </references>
      </pivotArea>
    </chartFormat>
    <chartFormat chart="13" format="6" series="1">
      <pivotArea type="data" outline="0" fieldPosition="0">
        <references count="2">
          <reference field="4294967294" count="1" selected="0">
            <x v="0"/>
          </reference>
          <reference field="24" count="1" selected="0">
            <x v="0"/>
          </reference>
        </references>
      </pivotArea>
    </chartFormat>
    <chartFormat chart="13" format="7" series="1">
      <pivotArea type="data" outline="0" fieldPosition="0">
        <references count="2">
          <reference field="4294967294" count="1" selected="0">
            <x v="0"/>
          </reference>
          <reference field="24" count="1" selected="0">
            <x v="1"/>
          </reference>
        </references>
      </pivotArea>
    </chartFormat>
    <chartFormat chart="13" format="8" series="1">
      <pivotArea type="data" outline="0" fieldPosition="0">
        <references count="2">
          <reference field="4294967294" count="1" selected="0">
            <x v="0"/>
          </reference>
          <reference field="24" count="1" selected="0">
            <x v="2"/>
          </reference>
        </references>
      </pivotArea>
    </chartFormat>
    <chartFormat chart="16" format="12" series="1">
      <pivotArea type="data" outline="0" fieldPosition="0">
        <references count="2">
          <reference field="4294967294" count="1" selected="0">
            <x v="0"/>
          </reference>
          <reference field="24" count="1" selected="0">
            <x v="0"/>
          </reference>
        </references>
      </pivotArea>
    </chartFormat>
    <chartFormat chart="16" format="13" series="1">
      <pivotArea type="data" outline="0" fieldPosition="0">
        <references count="2">
          <reference field="4294967294" count="1" selected="0">
            <x v="0"/>
          </reference>
          <reference field="24" count="1" selected="0">
            <x v="1"/>
          </reference>
        </references>
      </pivotArea>
    </chartFormat>
    <chartFormat chart="16" format="14" series="1">
      <pivotArea type="data" outline="0" fieldPosition="0">
        <references count="2">
          <reference field="4294967294" count="1" selected="0">
            <x v="0"/>
          </reference>
          <reference field="24" count="1" selected="0">
            <x v="2"/>
          </reference>
        </references>
      </pivotArea>
    </chartFormat>
    <chartFormat chart="17" format="0" series="1">
      <pivotArea type="data" outline="0" fieldPosition="0">
        <references count="2">
          <reference field="4294967294" count="1" selected="0">
            <x v="0"/>
          </reference>
          <reference field="24" count="1" selected="0">
            <x v="0"/>
          </reference>
        </references>
      </pivotArea>
    </chartFormat>
    <chartFormat chart="17" format="1" series="1">
      <pivotArea type="data" outline="0" fieldPosition="0">
        <references count="2">
          <reference field="4294967294" count="1" selected="0">
            <x v="0"/>
          </reference>
          <reference field="24" count="1" selected="0">
            <x v="1"/>
          </reference>
        </references>
      </pivotArea>
    </chartFormat>
    <chartFormat chart="17" format="2" series="1">
      <pivotArea type="data" outline="0" fieldPosition="0">
        <references count="2">
          <reference field="4294967294" count="1" selected="0">
            <x v="0"/>
          </reference>
          <reference field="24" count="1" selected="0">
            <x v="2"/>
          </reference>
        </references>
      </pivotArea>
    </chartFormat>
    <chartFormat chart="21" format="6" series="1">
      <pivotArea type="data" outline="0" fieldPosition="0">
        <references count="2">
          <reference field="4294967294" count="1" selected="0">
            <x v="0"/>
          </reference>
          <reference field="24" count="1" selected="0">
            <x v="0"/>
          </reference>
        </references>
      </pivotArea>
    </chartFormat>
    <chartFormat chart="21" format="7" series="1">
      <pivotArea type="data" outline="0" fieldPosition="0">
        <references count="2">
          <reference field="4294967294" count="1" selected="0">
            <x v="0"/>
          </reference>
          <reference field="24" count="1" selected="0">
            <x v="1"/>
          </reference>
        </references>
      </pivotArea>
    </chartFormat>
    <chartFormat chart="21" format="8" series="1">
      <pivotArea type="data" outline="0" fieldPosition="0">
        <references count="2">
          <reference field="4294967294" count="1" selected="0">
            <x v="0"/>
          </reference>
          <reference field="24" count="1" selected="0">
            <x v="2"/>
          </reference>
        </references>
      </pivotArea>
    </chartFormat>
    <chartFormat chart="29" format="18" series="1">
      <pivotArea type="data" outline="0" fieldPosition="0">
        <references count="2">
          <reference field="4294967294" count="1" selected="0">
            <x v="0"/>
          </reference>
          <reference field="24" count="1" selected="0">
            <x v="0"/>
          </reference>
        </references>
      </pivotArea>
    </chartFormat>
    <chartFormat chart="29" format="19" series="1">
      <pivotArea type="data" outline="0" fieldPosition="0">
        <references count="2">
          <reference field="4294967294" count="1" selected="0">
            <x v="0"/>
          </reference>
          <reference field="24" count="1" selected="0">
            <x v="1"/>
          </reference>
        </references>
      </pivotArea>
    </chartFormat>
    <chartFormat chart="29" format="20" series="1">
      <pivotArea type="data" outline="0" fieldPosition="0">
        <references count="2">
          <reference field="4294967294" count="1" selected="0">
            <x v="0"/>
          </reference>
          <reference field="24" count="1" selected="0">
            <x v="2"/>
          </reference>
        </references>
      </pivotArea>
    </chartFormat>
    <chartFormat chart="29" format="21"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0849EA-188E-4A28-A38B-96C5B37CD527}" name="PivotTable1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Z137:BC150" firstHeaderRow="1" firstDataRow="2"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axis="axisRow" showAll="0" sortType="descending">
      <items count="12">
        <item x="8"/>
        <item x="6"/>
        <item x="1"/>
        <item x="4"/>
        <item x="3"/>
        <item x="7"/>
        <item x="5"/>
        <item x="2"/>
        <item x="9"/>
        <item x="0"/>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
        <item x="0"/>
        <item t="default"/>
      </items>
    </pivotField>
    <pivotField showAll="0">
      <items count="5">
        <item x="0"/>
        <item x="2"/>
        <item x="1"/>
        <item x="3"/>
        <item t="default"/>
      </items>
    </pivotField>
    <pivotField showAll="0"/>
    <pivotField showAll="0"/>
    <pivotField showAll="0"/>
    <pivotField showAll="0">
      <items count="5">
        <item x="2"/>
        <item x="3"/>
        <item x="1"/>
        <item x="0"/>
        <item t="default"/>
      </items>
    </pivotField>
    <pivotField showAll="0" sortType="descending">
      <items count="15">
        <item x="4"/>
        <item x="0"/>
        <item x="3"/>
        <item x="10"/>
        <item x="8"/>
        <item x="2"/>
        <item x="9"/>
        <item x="7"/>
        <item x="12"/>
        <item x="6"/>
        <item x="5"/>
        <item x="11"/>
        <item x="13"/>
        <item x="1"/>
        <item t="default"/>
      </items>
      <autoSortScope>
        <pivotArea dataOnly="0" outline="0" fieldPosition="0">
          <references count="1">
            <reference field="4294967294" count="1" selected="0">
              <x v="0"/>
            </reference>
          </references>
        </pivotArea>
      </autoSortScope>
    </pivotField>
    <pivotField showAll="0"/>
    <pivotField axis="axisCol" showAll="0">
      <items count="3">
        <item x="1"/>
        <item x="0"/>
        <item t="default"/>
      </items>
    </pivotField>
    <pivotField showAll="0"/>
    <pivotField showAll="0"/>
    <pivotField showAll="0"/>
    <pivotField showAll="0"/>
    <pivotField showAll="0"/>
    <pivotField showAll="0"/>
  </pivotFields>
  <rowFields count="1">
    <field x="8"/>
  </rowFields>
  <rowItems count="12">
    <i>
      <x v="3"/>
    </i>
    <i>
      <x v="4"/>
    </i>
    <i>
      <x/>
    </i>
    <i>
      <x v="1"/>
    </i>
    <i>
      <x v="5"/>
    </i>
    <i>
      <x v="6"/>
    </i>
    <i>
      <x v="9"/>
    </i>
    <i>
      <x v="2"/>
    </i>
    <i>
      <x v="7"/>
    </i>
    <i>
      <x v="8"/>
    </i>
    <i>
      <x v="10"/>
    </i>
    <i t="grand">
      <x/>
    </i>
  </rowItems>
  <colFields count="1">
    <field x="20"/>
  </colFields>
  <colItems count="3">
    <i>
      <x/>
    </i>
    <i>
      <x v="1"/>
    </i>
    <i t="grand">
      <x/>
    </i>
  </colItems>
  <dataFields count="1">
    <dataField name="Count of Ticket No" fld="0" subtotal="count" baseField="13" baseItem="0"/>
  </dataFields>
  <chartFormats count="21">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 chart="4" format="2" series="1">
      <pivotArea type="data" outline="0" fieldPosition="0">
        <references count="2">
          <reference field="4294967294" count="1" selected="0">
            <x v="0"/>
          </reference>
          <reference field="20" count="1" selected="0">
            <x v="0"/>
          </reference>
        </references>
      </pivotArea>
    </chartFormat>
    <chartFormat chart="4" format="3" series="1">
      <pivotArea type="data" outline="0" fieldPosition="0">
        <references count="2">
          <reference field="4294967294" count="1" selected="0">
            <x v="0"/>
          </reference>
          <reference field="20" count="1" selected="0">
            <x v="1"/>
          </reference>
        </references>
      </pivotArea>
    </chartFormat>
    <chartFormat chart="7" format="8" series="1">
      <pivotArea type="data" outline="0" fieldPosition="0">
        <references count="2">
          <reference field="4294967294" count="1" selected="0">
            <x v="0"/>
          </reference>
          <reference field="20" count="1" selected="0">
            <x v="0"/>
          </reference>
        </references>
      </pivotArea>
    </chartFormat>
    <chartFormat chart="7" format="9" series="1">
      <pivotArea type="data" outline="0" fieldPosition="0">
        <references count="2">
          <reference field="4294967294" count="1" selected="0">
            <x v="0"/>
          </reference>
          <reference field="20" count="1" selected="0">
            <x v="1"/>
          </reference>
        </references>
      </pivotArea>
    </chartFormat>
    <chartFormat chart="13" format="4" series="1">
      <pivotArea type="data" outline="0" fieldPosition="0">
        <references count="2">
          <reference field="4294967294" count="1" selected="0">
            <x v="0"/>
          </reference>
          <reference field="20" count="1" selected="0">
            <x v="0"/>
          </reference>
        </references>
      </pivotArea>
    </chartFormat>
    <chartFormat chart="13" format="5" series="1">
      <pivotArea type="data" outline="0" fieldPosition="0">
        <references count="2">
          <reference field="4294967294" count="1" selected="0">
            <x v="0"/>
          </reference>
          <reference field="20" count="1" selected="0">
            <x v="1"/>
          </reference>
        </references>
      </pivotArea>
    </chartFormat>
    <chartFormat chart="16" format="8" series="1">
      <pivotArea type="data" outline="0" fieldPosition="0">
        <references count="2">
          <reference field="4294967294" count="1" selected="0">
            <x v="0"/>
          </reference>
          <reference field="20" count="1" selected="0">
            <x v="0"/>
          </reference>
        </references>
      </pivotArea>
    </chartFormat>
    <chartFormat chart="16" format="9" series="1">
      <pivotArea type="data" outline="0" fieldPosition="0">
        <references count="2">
          <reference field="4294967294" count="1" selected="0">
            <x v="0"/>
          </reference>
          <reference field="20" count="1" selected="0">
            <x v="1"/>
          </reference>
        </references>
      </pivotArea>
    </chartFormat>
    <chartFormat chart="17" format="0" series="1">
      <pivotArea type="data" outline="0" fieldPosition="0">
        <references count="2">
          <reference field="4294967294" count="1" selected="0">
            <x v="0"/>
          </reference>
          <reference field="20" count="1" selected="0">
            <x v="0"/>
          </reference>
        </references>
      </pivotArea>
    </chartFormat>
    <chartFormat chart="17" format="1" series="1">
      <pivotArea type="data" outline="0" fieldPosition="0">
        <references count="2">
          <reference field="4294967294" count="1" selected="0">
            <x v="0"/>
          </reference>
          <reference field="20" count="1" selected="0">
            <x v="1"/>
          </reference>
        </references>
      </pivotArea>
    </chartFormat>
    <chartFormat chart="22" format="4" series="1">
      <pivotArea type="data" outline="0" fieldPosition="0">
        <references count="2">
          <reference field="4294967294" count="1" selected="0">
            <x v="0"/>
          </reference>
          <reference field="20" count="1" selected="0">
            <x v="0"/>
          </reference>
        </references>
      </pivotArea>
    </chartFormat>
    <chartFormat chart="22" format="5" series="1">
      <pivotArea type="data" outline="0" fieldPosition="0">
        <references count="2">
          <reference field="4294967294" count="1" selected="0">
            <x v="0"/>
          </reference>
          <reference field="20" count="1" selected="0">
            <x v="1"/>
          </reference>
        </references>
      </pivotArea>
    </chartFormat>
    <chartFormat chart="30" format="12" series="1">
      <pivotArea type="data" outline="0" fieldPosition="0">
        <references count="2">
          <reference field="4294967294" count="1" selected="0">
            <x v="0"/>
          </reference>
          <reference field="20" count="1" selected="0">
            <x v="0"/>
          </reference>
        </references>
      </pivotArea>
    </chartFormat>
    <chartFormat chart="30" format="13" series="1">
      <pivotArea type="data" outline="0" fieldPosition="0">
        <references count="2">
          <reference field="4294967294" count="1" selected="0">
            <x v="0"/>
          </reference>
          <reference field="20" count="1" selected="0">
            <x v="1"/>
          </reference>
        </references>
      </pivotArea>
    </chartFormat>
    <chartFormat chart="30" format="14"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41D0A8-F8FD-40CB-B4A8-F79DA5EA3CD4}" name="PivotTable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Z48:BC64" firstHeaderRow="1" firstDataRow="2"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items count="12">
        <item x="8"/>
        <item x="6"/>
        <item x="1"/>
        <item x="4"/>
        <item x="3"/>
        <item x="7"/>
        <item x="5"/>
        <item x="2"/>
        <item x="9"/>
        <item x="0"/>
        <item x="10"/>
        <item t="default"/>
      </items>
    </pivotField>
    <pivotField showAll="0"/>
    <pivotField showAll="0"/>
    <pivotField showAll="0"/>
    <pivotField showAll="0">
      <items count="2">
        <item x="0"/>
        <item t="default"/>
      </items>
    </pivotField>
    <pivotField showAll="0">
      <items count="5">
        <item x="0"/>
        <item x="2"/>
        <item x="1"/>
        <item x="3"/>
        <item t="default"/>
      </items>
    </pivotField>
    <pivotField showAll="0"/>
    <pivotField showAll="0"/>
    <pivotField showAll="0"/>
    <pivotField showAll="0">
      <items count="5">
        <item x="2"/>
        <item x="3"/>
        <item x="1"/>
        <item x="0"/>
        <item t="default"/>
      </items>
    </pivotField>
    <pivotField axis="axisRow" showAll="0" sortType="descending">
      <items count="15">
        <item x="4"/>
        <item x="0"/>
        <item x="3"/>
        <item x="10"/>
        <item x="8"/>
        <item x="2"/>
        <item x="9"/>
        <item x="7"/>
        <item x="12"/>
        <item x="6"/>
        <item x="5"/>
        <item x="11"/>
        <item x="13"/>
        <item x="1"/>
        <item t="default"/>
      </items>
      <autoSortScope>
        <pivotArea dataOnly="0" outline="0" fieldPosition="0">
          <references count="1">
            <reference field="4294967294" count="1" selected="0">
              <x v="0"/>
            </reference>
          </references>
        </pivotArea>
      </autoSortScope>
    </pivotField>
    <pivotField showAll="0"/>
    <pivotField axis="axisCol" showAll="0">
      <items count="3">
        <item x="1"/>
        <item x="0"/>
        <item t="default"/>
      </items>
    </pivotField>
    <pivotField showAll="0"/>
    <pivotField showAll="0"/>
    <pivotField showAll="0"/>
    <pivotField showAll="0"/>
    <pivotField showAll="0"/>
    <pivotField showAll="0"/>
  </pivotFields>
  <rowFields count="1">
    <field x="18"/>
  </rowFields>
  <rowItems count="15">
    <i>
      <x v="5"/>
    </i>
    <i>
      <x/>
    </i>
    <i>
      <x v="9"/>
    </i>
    <i>
      <x v="1"/>
    </i>
    <i>
      <x v="11"/>
    </i>
    <i>
      <x v="6"/>
    </i>
    <i>
      <x v="2"/>
    </i>
    <i>
      <x v="10"/>
    </i>
    <i>
      <x v="13"/>
    </i>
    <i>
      <x v="7"/>
    </i>
    <i>
      <x v="3"/>
    </i>
    <i>
      <x v="8"/>
    </i>
    <i>
      <x v="4"/>
    </i>
    <i>
      <x v="12"/>
    </i>
    <i t="grand">
      <x/>
    </i>
  </rowItems>
  <colFields count="1">
    <field x="20"/>
  </colFields>
  <colItems count="3">
    <i>
      <x/>
    </i>
    <i>
      <x v="1"/>
    </i>
    <i t="grand">
      <x/>
    </i>
  </colItems>
  <dataFields count="1">
    <dataField name="Count of Ticket No" fld="0" subtotal="count" baseField="13" baseItem="0"/>
  </dataFields>
  <chartFormats count="12">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 chart="4" format="2" series="1">
      <pivotArea type="data" outline="0" fieldPosition="0">
        <references count="2">
          <reference field="4294967294" count="1" selected="0">
            <x v="0"/>
          </reference>
          <reference field="20" count="1" selected="0">
            <x v="0"/>
          </reference>
        </references>
      </pivotArea>
    </chartFormat>
    <chartFormat chart="4" format="3" series="1">
      <pivotArea type="data" outline="0" fieldPosition="0">
        <references count="2">
          <reference field="4294967294" count="1" selected="0">
            <x v="0"/>
          </reference>
          <reference field="20" count="1" selected="0">
            <x v="1"/>
          </reference>
        </references>
      </pivotArea>
    </chartFormat>
    <chartFormat chart="7" format="8" series="1">
      <pivotArea type="data" outline="0" fieldPosition="0">
        <references count="2">
          <reference field="4294967294" count="1" selected="0">
            <x v="0"/>
          </reference>
          <reference field="20" count="1" selected="0">
            <x v="0"/>
          </reference>
        </references>
      </pivotArea>
    </chartFormat>
    <chartFormat chart="7" format="9" series="1">
      <pivotArea type="data" outline="0" fieldPosition="0">
        <references count="2">
          <reference field="4294967294" count="1" selected="0">
            <x v="0"/>
          </reference>
          <reference field="20" count="1" selected="0">
            <x v="1"/>
          </reference>
        </references>
      </pivotArea>
    </chartFormat>
    <chartFormat chart="13" format="4" series="1">
      <pivotArea type="data" outline="0" fieldPosition="0">
        <references count="2">
          <reference field="4294967294" count="1" selected="0">
            <x v="0"/>
          </reference>
          <reference field="20" count="1" selected="0">
            <x v="0"/>
          </reference>
        </references>
      </pivotArea>
    </chartFormat>
    <chartFormat chart="13" format="5" series="1">
      <pivotArea type="data" outline="0" fieldPosition="0">
        <references count="2">
          <reference field="4294967294" count="1" selected="0">
            <x v="0"/>
          </reference>
          <reference field="20" count="1" selected="0">
            <x v="1"/>
          </reference>
        </references>
      </pivotArea>
    </chartFormat>
    <chartFormat chart="25" format="12" series="1">
      <pivotArea type="data" outline="0" fieldPosition="0">
        <references count="2">
          <reference field="4294967294" count="1" selected="0">
            <x v="0"/>
          </reference>
          <reference field="20" count="1" selected="0">
            <x v="0"/>
          </reference>
        </references>
      </pivotArea>
    </chartFormat>
    <chartFormat chart="25" format="13"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DD7651-59C9-4A0C-886E-3872F8D0B027}"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Z67:BD83" firstHeaderRow="1" firstDataRow="2"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items count="12">
        <item x="8"/>
        <item x="6"/>
        <item x="1"/>
        <item x="4"/>
        <item x="3"/>
        <item x="7"/>
        <item x="5"/>
        <item x="2"/>
        <item x="9"/>
        <item x="0"/>
        <item x="10"/>
        <item t="default"/>
      </items>
    </pivotField>
    <pivotField showAll="0"/>
    <pivotField showAll="0"/>
    <pivotField showAll="0"/>
    <pivotField showAll="0">
      <items count="2">
        <item x="0"/>
        <item t="default"/>
      </items>
    </pivotField>
    <pivotField showAll="0">
      <items count="5">
        <item x="0"/>
        <item x="2"/>
        <item x="1"/>
        <item x="3"/>
        <item t="default"/>
      </items>
    </pivotField>
    <pivotField showAll="0"/>
    <pivotField showAll="0"/>
    <pivotField showAll="0"/>
    <pivotField showAll="0">
      <items count="5">
        <item x="2"/>
        <item x="3"/>
        <item x="1"/>
        <item x="0"/>
        <item t="default"/>
      </items>
    </pivotField>
    <pivotField axis="axisRow" showAll="0" sortType="descending">
      <items count="15">
        <item x="4"/>
        <item x="0"/>
        <item x="3"/>
        <item x="10"/>
        <item x="8"/>
        <item x="2"/>
        <item x="9"/>
        <item x="7"/>
        <item x="12"/>
        <item x="6"/>
        <item x="5"/>
        <item x="11"/>
        <item x="13"/>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axis="axisCol" showAll="0">
      <items count="6">
        <item x="1"/>
        <item x="3"/>
        <item x="4"/>
        <item h="1" x="0"/>
        <item h="1" x="2"/>
        <item t="default"/>
      </items>
    </pivotField>
    <pivotField showAll="0"/>
    <pivotField showAll="0"/>
  </pivotFields>
  <rowFields count="1">
    <field x="18"/>
  </rowFields>
  <rowItems count="15">
    <i>
      <x v="1"/>
    </i>
    <i>
      <x/>
    </i>
    <i>
      <x v="11"/>
    </i>
    <i>
      <x v="10"/>
    </i>
    <i>
      <x v="8"/>
    </i>
    <i>
      <x v="5"/>
    </i>
    <i>
      <x v="13"/>
    </i>
    <i>
      <x v="4"/>
    </i>
    <i>
      <x v="6"/>
    </i>
    <i>
      <x v="12"/>
    </i>
    <i>
      <x v="2"/>
    </i>
    <i>
      <x v="3"/>
    </i>
    <i>
      <x v="7"/>
    </i>
    <i>
      <x v="9"/>
    </i>
    <i t="grand">
      <x/>
    </i>
  </rowItems>
  <colFields count="1">
    <field x="24"/>
  </colFields>
  <colItems count="4">
    <i>
      <x/>
    </i>
    <i>
      <x v="1"/>
    </i>
    <i>
      <x v="2"/>
    </i>
    <i t="grand">
      <x/>
    </i>
  </colItems>
  <dataFields count="1">
    <dataField name="Count of Ticket No" fld="0" subtotal="count" baseField="13" baseItem="0"/>
  </dataFields>
  <chartFormats count="20">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 chart="3" format="6" series="1">
      <pivotArea type="data" outline="0" fieldPosition="0">
        <references count="2">
          <reference field="4294967294" count="1" selected="0">
            <x v="0"/>
          </reference>
          <reference field="24" count="1" selected="0">
            <x v="0"/>
          </reference>
        </references>
      </pivotArea>
    </chartFormat>
    <chartFormat chart="3" format="7" series="1">
      <pivotArea type="data" outline="0" fieldPosition="0">
        <references count="2">
          <reference field="4294967294" count="1" selected="0">
            <x v="0"/>
          </reference>
          <reference field="24" count="1" selected="0">
            <x v="1"/>
          </reference>
        </references>
      </pivotArea>
    </chartFormat>
    <chartFormat chart="3" format="8" series="1">
      <pivotArea type="data" outline="0" fieldPosition="0">
        <references count="2">
          <reference field="4294967294" count="1" selected="0">
            <x v="0"/>
          </reference>
          <reference field="24" count="1" selected="0">
            <x v="2"/>
          </reference>
        </references>
      </pivotArea>
    </chartFormat>
    <chartFormat chart="4" format="3" series="1">
      <pivotArea type="data" outline="0" fieldPosition="0">
        <references count="2">
          <reference field="4294967294" count="1" selected="0">
            <x v="0"/>
          </reference>
          <reference field="24" count="1" selected="0">
            <x v="0"/>
          </reference>
        </references>
      </pivotArea>
    </chartFormat>
    <chartFormat chart="4" format="4" series="1">
      <pivotArea type="data" outline="0" fieldPosition="0">
        <references count="2">
          <reference field="4294967294" count="1" selected="0">
            <x v="0"/>
          </reference>
          <reference field="24" count="1" selected="0">
            <x v="1"/>
          </reference>
        </references>
      </pivotArea>
    </chartFormat>
    <chartFormat chart="4" format="5" series="1">
      <pivotArea type="data" outline="0" fieldPosition="0">
        <references count="2">
          <reference field="4294967294" count="1" selected="0">
            <x v="0"/>
          </reference>
          <reference field="24" count="1" selected="0">
            <x v="2"/>
          </reference>
        </references>
      </pivotArea>
    </chartFormat>
    <chartFormat chart="7" format="12" series="1">
      <pivotArea type="data" outline="0" fieldPosition="0">
        <references count="2">
          <reference field="4294967294" count="1" selected="0">
            <x v="0"/>
          </reference>
          <reference field="24" count="1" selected="0">
            <x v="0"/>
          </reference>
        </references>
      </pivotArea>
    </chartFormat>
    <chartFormat chart="7" format="13" series="1">
      <pivotArea type="data" outline="0" fieldPosition="0">
        <references count="2">
          <reference field="4294967294" count="1" selected="0">
            <x v="0"/>
          </reference>
          <reference field="24" count="1" selected="0">
            <x v="1"/>
          </reference>
        </references>
      </pivotArea>
    </chartFormat>
    <chartFormat chart="7" format="14" series="1">
      <pivotArea type="data" outline="0" fieldPosition="0">
        <references count="2">
          <reference field="4294967294" count="1" selected="0">
            <x v="0"/>
          </reference>
          <reference field="24" count="1" selected="0">
            <x v="2"/>
          </reference>
        </references>
      </pivotArea>
    </chartFormat>
    <chartFormat chart="13" format="6" series="1">
      <pivotArea type="data" outline="0" fieldPosition="0">
        <references count="2">
          <reference field="4294967294" count="1" selected="0">
            <x v="0"/>
          </reference>
          <reference field="24" count="1" selected="0">
            <x v="0"/>
          </reference>
        </references>
      </pivotArea>
    </chartFormat>
    <chartFormat chart="13" format="7" series="1">
      <pivotArea type="data" outline="0" fieldPosition="0">
        <references count="2">
          <reference field="4294967294" count="1" selected="0">
            <x v="0"/>
          </reference>
          <reference field="24" count="1" selected="0">
            <x v="1"/>
          </reference>
        </references>
      </pivotArea>
    </chartFormat>
    <chartFormat chart="13" format="8" series="1">
      <pivotArea type="data" outline="0" fieldPosition="0">
        <references count="2">
          <reference field="4294967294" count="1" selected="0">
            <x v="0"/>
          </reference>
          <reference field="24" count="1" selected="0">
            <x v="2"/>
          </reference>
        </references>
      </pivotArea>
    </chartFormat>
    <chartFormat chart="25" format="18" series="1">
      <pivotArea type="data" outline="0" fieldPosition="0">
        <references count="2">
          <reference field="4294967294" count="1" selected="0">
            <x v="0"/>
          </reference>
          <reference field="24" count="1" selected="0">
            <x v="0"/>
          </reference>
        </references>
      </pivotArea>
    </chartFormat>
    <chartFormat chart="25" format="19" series="1">
      <pivotArea type="data" outline="0" fieldPosition="0">
        <references count="2">
          <reference field="4294967294" count="1" selected="0">
            <x v="0"/>
          </reference>
          <reference field="24" count="1" selected="0">
            <x v="1"/>
          </reference>
        </references>
      </pivotArea>
    </chartFormat>
    <chartFormat chart="25" format="20" series="1">
      <pivotArea type="data" outline="0" fieldPosition="0">
        <references count="2">
          <reference field="4294967294" count="1" selected="0">
            <x v="0"/>
          </reference>
          <reference field="24" count="1" selected="0">
            <x v="2"/>
          </reference>
        </references>
      </pivotArea>
    </chartFormat>
    <chartFormat chart="25" format="21"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10DED3-9580-4E63-B5A8-AD484BE4B1F8}"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Z86:BC101" firstHeaderRow="1" firstDataRow="2"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items count="12">
        <item x="8"/>
        <item x="6"/>
        <item x="1"/>
        <item x="4"/>
        <item x="3"/>
        <item x="7"/>
        <item x="5"/>
        <item x="2"/>
        <item x="9"/>
        <item x="0"/>
        <item x="10"/>
        <item t="default"/>
      </items>
    </pivotField>
    <pivotField showAll="0"/>
    <pivotField showAll="0"/>
    <pivotField showAll="0"/>
    <pivotField showAll="0">
      <items count="2">
        <item x="0"/>
        <item t="default"/>
      </items>
    </pivotField>
    <pivotField showAll="0">
      <items count="5">
        <item x="0"/>
        <item x="2"/>
        <item x="1"/>
        <item x="3"/>
        <item t="default"/>
      </items>
    </pivotField>
    <pivotField showAll="0"/>
    <pivotField showAll="0"/>
    <pivotField showAll="0"/>
    <pivotField showAll="0">
      <items count="5">
        <item x="2"/>
        <item x="3"/>
        <item x="1"/>
        <item x="0"/>
        <item t="default"/>
      </items>
    </pivotField>
    <pivotField axis="axisRow" showAll="0" sortType="descending">
      <items count="15">
        <item x="4"/>
        <item x="0"/>
        <item x="3"/>
        <item x="10"/>
        <item x="8"/>
        <item x="2"/>
        <item x="9"/>
        <item x="7"/>
        <item x="12"/>
        <item x="6"/>
        <item x="5"/>
        <item x="11"/>
        <item x="13"/>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showAll="0">
      <items count="6">
        <item x="1"/>
        <item x="3"/>
        <item x="4"/>
        <item h="1" x="0"/>
        <item h="1" x="2"/>
        <item t="default"/>
      </items>
    </pivotField>
    <pivotField showAll="0"/>
    <pivotField axis="axisCol" showAll="0">
      <items count="4">
        <item x="0"/>
        <item x="2"/>
        <item h="1" x="1"/>
        <item t="default"/>
      </items>
    </pivotField>
  </pivotFields>
  <rowFields count="1">
    <field x="18"/>
  </rowFields>
  <rowItems count="14">
    <i>
      <x v="9"/>
    </i>
    <i>
      <x v="5"/>
    </i>
    <i>
      <x v="7"/>
    </i>
    <i>
      <x v="3"/>
    </i>
    <i>
      <x v="2"/>
    </i>
    <i>
      <x v="11"/>
    </i>
    <i>
      <x v="13"/>
    </i>
    <i>
      <x/>
    </i>
    <i>
      <x v="10"/>
    </i>
    <i>
      <x v="6"/>
    </i>
    <i>
      <x v="1"/>
    </i>
    <i>
      <x v="4"/>
    </i>
    <i>
      <x v="8"/>
    </i>
    <i t="grand">
      <x/>
    </i>
  </rowItems>
  <colFields count="1">
    <field x="26"/>
  </colFields>
  <colItems count="3">
    <i>
      <x/>
    </i>
    <i>
      <x v="1"/>
    </i>
    <i t="grand">
      <x/>
    </i>
  </colItems>
  <dataFields count="1">
    <dataField name="Count of Ticket No" fld="0" subtotal="count" baseField="13" baseItem="0"/>
  </dataFields>
  <chartFormats count="12">
    <chartFormat chart="0" format="0" series="1">
      <pivotArea type="data" outline="0" fieldPosition="0">
        <references count="2">
          <reference field="4294967294" count="1" selected="0">
            <x v="0"/>
          </reference>
          <reference field="26" count="1" selected="0">
            <x v="0"/>
          </reference>
        </references>
      </pivotArea>
    </chartFormat>
    <chartFormat chart="0" format="1" series="1">
      <pivotArea type="data" outline="0" fieldPosition="0">
        <references count="2">
          <reference field="4294967294" count="1" selected="0">
            <x v="0"/>
          </reference>
          <reference field="26" count="1" selected="0">
            <x v="1"/>
          </reference>
        </references>
      </pivotArea>
    </chartFormat>
    <chartFormat chart="3" format="4" series="1">
      <pivotArea type="data" outline="0" fieldPosition="0">
        <references count="2">
          <reference field="4294967294" count="1" selected="0">
            <x v="0"/>
          </reference>
          <reference field="26" count="1" selected="0">
            <x v="0"/>
          </reference>
        </references>
      </pivotArea>
    </chartFormat>
    <chartFormat chart="3" format="5" series="1">
      <pivotArea type="data" outline="0" fieldPosition="0">
        <references count="2">
          <reference field="4294967294" count="1" selected="0">
            <x v="0"/>
          </reference>
          <reference field="26" count="1" selected="0">
            <x v="1"/>
          </reference>
        </references>
      </pivotArea>
    </chartFormat>
    <chartFormat chart="6" format="8" series="1">
      <pivotArea type="data" outline="0" fieldPosition="0">
        <references count="2">
          <reference field="4294967294" count="1" selected="0">
            <x v="0"/>
          </reference>
          <reference field="26" count="1" selected="0">
            <x v="0"/>
          </reference>
        </references>
      </pivotArea>
    </chartFormat>
    <chartFormat chart="6" format="9" series="1">
      <pivotArea type="data" outline="0" fieldPosition="0">
        <references count="2">
          <reference field="4294967294" count="1" selected="0">
            <x v="0"/>
          </reference>
          <reference field="26" count="1" selected="0">
            <x v="1"/>
          </reference>
        </references>
      </pivotArea>
    </chartFormat>
    <chartFormat chart="12" format="4" series="1">
      <pivotArea type="data" outline="0" fieldPosition="0">
        <references count="2">
          <reference field="4294967294" count="1" selected="0">
            <x v="0"/>
          </reference>
          <reference field="26" count="1" selected="0">
            <x v="0"/>
          </reference>
        </references>
      </pivotArea>
    </chartFormat>
    <chartFormat chart="12" format="5" series="1">
      <pivotArea type="data" outline="0" fieldPosition="0">
        <references count="2">
          <reference field="4294967294" count="1" selected="0">
            <x v="0"/>
          </reference>
          <reference field="26" count="1" selected="0">
            <x v="1"/>
          </reference>
        </references>
      </pivotArea>
    </chartFormat>
    <chartFormat chart="12" format="6" series="1">
      <pivotArea type="data" outline="0" fieldPosition="0">
        <references count="1">
          <reference field="4294967294" count="1" selected="0">
            <x v="0"/>
          </reference>
        </references>
      </pivotArea>
    </chartFormat>
    <chartFormat chart="24" format="13" series="1">
      <pivotArea type="data" outline="0" fieldPosition="0">
        <references count="2">
          <reference field="4294967294" count="1" selected="0">
            <x v="0"/>
          </reference>
          <reference field="26" count="1" selected="0">
            <x v="0"/>
          </reference>
        </references>
      </pivotArea>
    </chartFormat>
    <chartFormat chart="24" format="14" series="1">
      <pivotArea type="data" outline="0" fieldPosition="0">
        <references count="2">
          <reference field="4294967294" count="1" selected="0">
            <x v="0"/>
          </reference>
          <reference field="26" count="1" selected="0">
            <x v="1"/>
          </reference>
        </references>
      </pivotArea>
    </chartFormat>
    <chartFormat chart="2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E7C543-E916-466C-A0FB-52F919345B62}"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Z106:BA121" firstHeaderRow="1" firstDataRow="1" firstDataCol="1"/>
  <pivotFields count="27">
    <pivotField showAll="0">
      <items count="226">
        <item x="83"/>
        <item x="29"/>
        <item x="77"/>
        <item x="96"/>
        <item x="51"/>
        <item x="98"/>
        <item x="175"/>
        <item x="4"/>
        <item x="55"/>
        <item x="7"/>
        <item x="197"/>
        <item x="120"/>
        <item x="74"/>
        <item x="3"/>
        <item x="179"/>
        <item x="31"/>
        <item x="85"/>
        <item x="151"/>
        <item x="123"/>
        <item x="18"/>
        <item x="157"/>
        <item x="8"/>
        <item x="58"/>
        <item x="79"/>
        <item x="106"/>
        <item x="174"/>
        <item x="211"/>
        <item x="94"/>
        <item x="82"/>
        <item x="126"/>
        <item x="136"/>
        <item x="76"/>
        <item x="90"/>
        <item x="70"/>
        <item x="178"/>
        <item x="93"/>
        <item x="212"/>
        <item x="100"/>
        <item x="184"/>
        <item x="103"/>
        <item x="218"/>
        <item x="128"/>
        <item x="188"/>
        <item x="148"/>
        <item x="216"/>
        <item x="210"/>
        <item x="48"/>
        <item x="72"/>
        <item x="91"/>
        <item x="186"/>
        <item x="199"/>
        <item x="165"/>
        <item x="80"/>
        <item x="20"/>
        <item x="5"/>
        <item x="24"/>
        <item x="172"/>
        <item x="205"/>
        <item x="37"/>
        <item x="69"/>
        <item x="183"/>
        <item x="147"/>
        <item x="97"/>
        <item x="122"/>
        <item x="208"/>
        <item x="156"/>
        <item x="115"/>
        <item x="143"/>
        <item x="104"/>
        <item x="131"/>
        <item x="110"/>
        <item x="117"/>
        <item x="60"/>
        <item x="44"/>
        <item x="176"/>
        <item x="181"/>
        <item x="201"/>
        <item x="13"/>
        <item x="95"/>
        <item x="146"/>
        <item x="162"/>
        <item x="138"/>
        <item x="203"/>
        <item x="133"/>
        <item x="52"/>
        <item x="25"/>
        <item x="223"/>
        <item x="6"/>
        <item x="22"/>
        <item x="189"/>
        <item x="213"/>
        <item x="222"/>
        <item x="207"/>
        <item x="114"/>
        <item x="67"/>
        <item x="195"/>
        <item x="16"/>
        <item x="99"/>
        <item x="160"/>
        <item x="38"/>
        <item x="9"/>
        <item x="101"/>
        <item x="84"/>
        <item x="204"/>
        <item x="113"/>
        <item x="32"/>
        <item x="10"/>
        <item x="65"/>
        <item x="168"/>
        <item x="33"/>
        <item x="64"/>
        <item x="87"/>
        <item x="59"/>
        <item x="140"/>
        <item x="42"/>
        <item x="71"/>
        <item x="119"/>
        <item x="108"/>
        <item x="49"/>
        <item x="61"/>
        <item x="121"/>
        <item x="11"/>
        <item x="155"/>
        <item x="135"/>
        <item x="130"/>
        <item x="116"/>
        <item x="109"/>
        <item x="152"/>
        <item x="45"/>
        <item x="150"/>
        <item x="169"/>
        <item x="139"/>
        <item x="141"/>
        <item x="159"/>
        <item x="88"/>
        <item x="111"/>
        <item x="30"/>
        <item x="112"/>
        <item x="209"/>
        <item x="23"/>
        <item x="202"/>
        <item x="66"/>
        <item x="149"/>
        <item x="129"/>
        <item x="219"/>
        <item x="145"/>
        <item x="21"/>
        <item x="193"/>
        <item x="73"/>
        <item x="217"/>
        <item x="14"/>
        <item x="171"/>
        <item x="56"/>
        <item x="1"/>
        <item x="102"/>
        <item x="28"/>
        <item x="215"/>
        <item x="41"/>
        <item x="105"/>
        <item x="54"/>
        <item x="12"/>
        <item x="164"/>
        <item x="170"/>
        <item x="46"/>
        <item x="35"/>
        <item x="191"/>
        <item x="192"/>
        <item x="206"/>
        <item x="173"/>
        <item x="198"/>
        <item x="17"/>
        <item x="81"/>
        <item x="161"/>
        <item x="75"/>
        <item x="158"/>
        <item x="15"/>
        <item x="50"/>
        <item x="36"/>
        <item x="167"/>
        <item x="118"/>
        <item x="163"/>
        <item x="39"/>
        <item x="124"/>
        <item x="185"/>
        <item x="63"/>
        <item x="214"/>
        <item x="182"/>
        <item x="57"/>
        <item x="53"/>
        <item x="196"/>
        <item x="2"/>
        <item x="224"/>
        <item x="43"/>
        <item x="166"/>
        <item x="180"/>
        <item x="187"/>
        <item x="132"/>
        <item x="19"/>
        <item x="125"/>
        <item x="134"/>
        <item x="86"/>
        <item x="47"/>
        <item x="107"/>
        <item x="40"/>
        <item x="92"/>
        <item x="220"/>
        <item x="34"/>
        <item x="200"/>
        <item x="154"/>
        <item x="26"/>
        <item x="144"/>
        <item x="142"/>
        <item x="62"/>
        <item x="27"/>
        <item x="0"/>
        <item x="68"/>
        <item x="190"/>
        <item x="221"/>
        <item x="177"/>
        <item x="153"/>
        <item x="194"/>
        <item x="127"/>
        <item x="137"/>
        <item x="78"/>
        <item x="89"/>
        <item t="default"/>
      </items>
    </pivotField>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items count="12">
        <item x="8"/>
        <item x="6"/>
        <item x="1"/>
        <item x="4"/>
        <item x="3"/>
        <item x="7"/>
        <item x="5"/>
        <item x="2"/>
        <item x="9"/>
        <item x="0"/>
        <item x="10"/>
        <item t="default"/>
      </items>
    </pivotField>
    <pivotField showAll="0"/>
    <pivotField showAll="0"/>
    <pivotField showAll="0"/>
    <pivotField showAll="0">
      <items count="2">
        <item x="0"/>
        <item t="default"/>
      </items>
    </pivotField>
    <pivotField showAll="0">
      <items count="5">
        <item x="0"/>
        <item x="2"/>
        <item x="1"/>
        <item x="3"/>
        <item t="default"/>
      </items>
    </pivotField>
    <pivotField showAll="0"/>
    <pivotField showAll="0"/>
    <pivotField showAll="0"/>
    <pivotField showAll="0">
      <items count="5">
        <item x="2"/>
        <item x="3"/>
        <item x="1"/>
        <item x="0"/>
        <item t="default"/>
      </items>
    </pivotField>
    <pivotField axis="axisRow" showAll="0" sortType="descending">
      <items count="15">
        <item x="4"/>
        <item x="0"/>
        <item x="3"/>
        <item x="10"/>
        <item x="8"/>
        <item x="2"/>
        <item x="9"/>
        <item x="7"/>
        <item x="12"/>
        <item x="6"/>
        <item x="5"/>
        <item x="11"/>
        <item x="13"/>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dataField="1" showAll="0"/>
    <pivotField showAll="0">
      <items count="6">
        <item x="1"/>
        <item x="3"/>
        <item x="4"/>
        <item h="1" x="0"/>
        <item h="1" x="2"/>
        <item t="default"/>
      </items>
    </pivotField>
    <pivotField showAll="0"/>
    <pivotField showAll="0">
      <items count="4">
        <item x="0"/>
        <item x="2"/>
        <item h="1" x="1"/>
        <item t="default"/>
      </items>
    </pivotField>
  </pivotFields>
  <rowFields count="1">
    <field x="18"/>
  </rowFields>
  <rowItems count="15">
    <i>
      <x v="3"/>
    </i>
    <i>
      <x v="6"/>
    </i>
    <i>
      <x v="11"/>
    </i>
    <i>
      <x v="5"/>
    </i>
    <i>
      <x v="2"/>
    </i>
    <i>
      <x v="1"/>
    </i>
    <i>
      <x v="9"/>
    </i>
    <i>
      <x v="7"/>
    </i>
    <i>
      <x v="10"/>
    </i>
    <i>
      <x/>
    </i>
    <i>
      <x v="8"/>
    </i>
    <i>
      <x v="13"/>
    </i>
    <i>
      <x v="12"/>
    </i>
    <i>
      <x v="4"/>
    </i>
    <i t="grand">
      <x/>
    </i>
  </rowItems>
  <colItems count="1">
    <i/>
  </colItems>
  <dataFields count="1">
    <dataField name="Average of Days_In_Solved" fld="23" subtotal="average" baseField="13" baseItem="0"/>
  </dataFields>
  <formats count="1">
    <format dxfId="17">
      <pivotArea collapsedLevelsAreSubtotals="1" fieldPosition="0">
        <references count="1">
          <reference field="18" count="0"/>
        </references>
      </pivotArea>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5D04AE5-AD98-461D-819E-4614501B0619}"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Z31:BA36" firstHeaderRow="1" firstDataRow="1" firstDataCol="1"/>
  <pivotFields count="27">
    <pivotField showAll="0">
      <items count="226">
        <item x="83"/>
        <item x="29"/>
        <item x="77"/>
        <item x="96"/>
        <item x="51"/>
        <item x="98"/>
        <item x="175"/>
        <item x="4"/>
        <item x="55"/>
        <item x="7"/>
        <item x="197"/>
        <item x="120"/>
        <item x="74"/>
        <item x="3"/>
        <item x="179"/>
        <item x="31"/>
        <item x="85"/>
        <item x="151"/>
        <item x="123"/>
        <item x="18"/>
        <item x="157"/>
        <item x="8"/>
        <item x="58"/>
        <item x="79"/>
        <item x="106"/>
        <item x="174"/>
        <item x="211"/>
        <item x="94"/>
        <item x="82"/>
        <item x="126"/>
        <item x="136"/>
        <item x="76"/>
        <item x="90"/>
        <item x="70"/>
        <item x="178"/>
        <item x="93"/>
        <item x="212"/>
        <item x="100"/>
        <item x="184"/>
        <item x="103"/>
        <item x="218"/>
        <item x="128"/>
        <item x="188"/>
        <item x="148"/>
        <item x="216"/>
        <item x="210"/>
        <item x="48"/>
        <item x="72"/>
        <item x="91"/>
        <item x="186"/>
        <item x="199"/>
        <item x="165"/>
        <item x="80"/>
        <item x="20"/>
        <item x="5"/>
        <item x="24"/>
        <item x="172"/>
        <item x="205"/>
        <item x="37"/>
        <item x="69"/>
        <item x="183"/>
        <item x="147"/>
        <item x="97"/>
        <item x="122"/>
        <item x="208"/>
        <item x="156"/>
        <item x="115"/>
        <item x="143"/>
        <item x="104"/>
        <item x="131"/>
        <item x="110"/>
        <item x="117"/>
        <item x="60"/>
        <item x="44"/>
        <item x="176"/>
        <item x="181"/>
        <item x="201"/>
        <item x="13"/>
        <item x="95"/>
        <item x="146"/>
        <item x="162"/>
        <item x="138"/>
        <item x="203"/>
        <item x="133"/>
        <item x="52"/>
        <item x="25"/>
        <item x="223"/>
        <item x="6"/>
        <item x="22"/>
        <item x="189"/>
        <item x="213"/>
        <item x="222"/>
        <item x="207"/>
        <item x="114"/>
        <item x="67"/>
        <item x="195"/>
        <item x="16"/>
        <item x="99"/>
        <item x="160"/>
        <item x="38"/>
        <item x="9"/>
        <item x="101"/>
        <item x="84"/>
        <item x="204"/>
        <item x="113"/>
        <item x="32"/>
        <item x="10"/>
        <item x="65"/>
        <item x="168"/>
        <item x="33"/>
        <item x="64"/>
        <item x="87"/>
        <item x="59"/>
        <item x="140"/>
        <item x="42"/>
        <item x="71"/>
        <item x="119"/>
        <item x="108"/>
        <item x="49"/>
        <item x="61"/>
        <item x="121"/>
        <item x="11"/>
        <item x="155"/>
        <item x="135"/>
        <item x="130"/>
        <item x="116"/>
        <item x="109"/>
        <item x="152"/>
        <item x="45"/>
        <item x="150"/>
        <item x="169"/>
        <item x="139"/>
        <item x="141"/>
        <item x="159"/>
        <item x="88"/>
        <item x="111"/>
        <item x="30"/>
        <item x="112"/>
        <item x="209"/>
        <item x="23"/>
        <item x="202"/>
        <item x="66"/>
        <item x="149"/>
        <item x="129"/>
        <item x="219"/>
        <item x="145"/>
        <item x="21"/>
        <item x="193"/>
        <item x="73"/>
        <item x="217"/>
        <item x="14"/>
        <item x="171"/>
        <item x="56"/>
        <item x="1"/>
        <item x="102"/>
        <item x="28"/>
        <item x="215"/>
        <item x="41"/>
        <item x="105"/>
        <item x="54"/>
        <item x="12"/>
        <item x="164"/>
        <item x="170"/>
        <item x="46"/>
        <item x="35"/>
        <item x="191"/>
        <item x="192"/>
        <item x="206"/>
        <item x="173"/>
        <item x="198"/>
        <item x="17"/>
        <item x="81"/>
        <item x="161"/>
        <item x="75"/>
        <item x="158"/>
        <item x="15"/>
        <item x="50"/>
        <item x="36"/>
        <item x="167"/>
        <item x="118"/>
        <item x="163"/>
        <item x="39"/>
        <item x="124"/>
        <item x="185"/>
        <item x="63"/>
        <item x="214"/>
        <item x="182"/>
        <item x="57"/>
        <item x="53"/>
        <item x="196"/>
        <item x="2"/>
        <item x="224"/>
        <item x="43"/>
        <item x="166"/>
        <item x="180"/>
        <item x="187"/>
        <item x="132"/>
        <item x="19"/>
        <item x="125"/>
        <item x="134"/>
        <item x="86"/>
        <item x="47"/>
        <item x="107"/>
        <item x="40"/>
        <item x="92"/>
        <item x="220"/>
        <item x="34"/>
        <item x="200"/>
        <item x="154"/>
        <item x="26"/>
        <item x="144"/>
        <item x="142"/>
        <item x="62"/>
        <item x="27"/>
        <item x="0"/>
        <item x="68"/>
        <item x="190"/>
        <item x="221"/>
        <item x="177"/>
        <item x="153"/>
        <item x="194"/>
        <item x="127"/>
        <item x="137"/>
        <item x="78"/>
        <item x="89"/>
        <item t="default"/>
      </items>
    </pivotField>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items count="12">
        <item x="8"/>
        <item x="6"/>
        <item x="1"/>
        <item x="4"/>
        <item x="3"/>
        <item x="7"/>
        <item x="5"/>
        <item x="2"/>
        <item x="9"/>
        <item x="0"/>
        <item x="10"/>
        <item t="default"/>
      </items>
    </pivotField>
    <pivotField showAll="0"/>
    <pivotField showAll="0"/>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3"/>
        <item x="1"/>
        <item x="0"/>
        <item t="default"/>
      </items>
    </pivotField>
    <pivotField showAll="0">
      <items count="15">
        <item x="4"/>
        <item x="0"/>
        <item x="3"/>
        <item x="10"/>
        <item x="8"/>
        <item x="2"/>
        <item x="9"/>
        <item x="7"/>
        <item x="12"/>
        <item x="6"/>
        <item x="5"/>
        <item x="11"/>
        <item x="13"/>
        <item x="1"/>
        <item t="default"/>
      </items>
    </pivotField>
    <pivotField showAll="0"/>
    <pivotField showAll="0">
      <items count="3">
        <item x="1"/>
        <item x="0"/>
        <item t="default"/>
      </items>
    </pivotField>
    <pivotField showAll="0"/>
    <pivotField showAll="0"/>
    <pivotField dataField="1" showAll="0"/>
    <pivotField showAll="0">
      <items count="6">
        <item x="1"/>
        <item x="3"/>
        <item x="4"/>
        <item h="1" x="0"/>
        <item h="1" x="2"/>
        <item t="default"/>
      </items>
    </pivotField>
    <pivotField showAll="0"/>
    <pivotField showAll="0">
      <items count="4">
        <item x="0"/>
        <item x="2"/>
        <item h="1" x="1"/>
        <item t="default"/>
      </items>
    </pivotField>
  </pivotFields>
  <rowFields count="1">
    <field x="13"/>
  </rowFields>
  <rowItems count="5">
    <i>
      <x/>
    </i>
    <i>
      <x v="1"/>
    </i>
    <i>
      <x v="2"/>
    </i>
    <i>
      <x v="3"/>
    </i>
    <i t="grand">
      <x/>
    </i>
  </rowItems>
  <colItems count="1">
    <i/>
  </colItems>
  <dataFields count="1">
    <dataField name="Average of Days_In_Solved" fld="23" subtotal="average" baseField="13" baseItem="0"/>
  </dataFields>
  <formats count="1">
    <format dxfId="18">
      <pivotArea collapsedLevelsAreSubtotals="1" fieldPosition="0">
        <references count="1">
          <reference field="13" count="0"/>
        </references>
      </pivotArea>
    </format>
  </formats>
  <chartFormats count="2">
    <chartFormat chart="3"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712FA8E-D47A-4D3E-A28C-432B96B45C31}"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Z22:BC28" firstHeaderRow="1" firstDataRow="2"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items count="12">
        <item x="8"/>
        <item x="6"/>
        <item x="1"/>
        <item x="4"/>
        <item x="3"/>
        <item x="7"/>
        <item x="5"/>
        <item x="2"/>
        <item x="9"/>
        <item x="0"/>
        <item x="10"/>
        <item t="default"/>
      </items>
    </pivotField>
    <pivotField showAll="0"/>
    <pivotField showAll="0"/>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3"/>
        <item x="1"/>
        <item x="0"/>
        <item t="default"/>
      </items>
    </pivotField>
    <pivotField showAll="0">
      <items count="15">
        <item x="4"/>
        <item x="0"/>
        <item x="3"/>
        <item x="10"/>
        <item x="8"/>
        <item x="2"/>
        <item x="9"/>
        <item x="7"/>
        <item x="12"/>
        <item x="6"/>
        <item x="5"/>
        <item x="11"/>
        <item x="13"/>
        <item x="1"/>
        <item t="default"/>
      </items>
    </pivotField>
    <pivotField showAll="0"/>
    <pivotField showAll="0">
      <items count="3">
        <item x="1"/>
        <item x="0"/>
        <item t="default"/>
      </items>
    </pivotField>
    <pivotField showAll="0"/>
    <pivotField showAll="0"/>
    <pivotField showAll="0"/>
    <pivotField showAll="0">
      <items count="6">
        <item x="1"/>
        <item x="3"/>
        <item x="4"/>
        <item h="1" x="0"/>
        <item h="1" x="2"/>
        <item t="default"/>
      </items>
    </pivotField>
    <pivotField showAll="0"/>
    <pivotField axis="axisCol" showAll="0">
      <items count="4">
        <item x="0"/>
        <item x="2"/>
        <item h="1" x="1"/>
        <item t="default"/>
      </items>
    </pivotField>
  </pivotFields>
  <rowFields count="1">
    <field x="13"/>
  </rowFields>
  <rowItems count="5">
    <i>
      <x v="1"/>
    </i>
    <i>
      <x v="2"/>
    </i>
    <i>
      <x v="3"/>
    </i>
    <i>
      <x/>
    </i>
    <i t="grand">
      <x/>
    </i>
  </rowItems>
  <colFields count="1">
    <field x="26"/>
  </colFields>
  <colItems count="3">
    <i>
      <x/>
    </i>
    <i>
      <x v="1"/>
    </i>
    <i t="grand">
      <x/>
    </i>
  </colItems>
  <dataFields count="1">
    <dataField name="Count of Ticket No" fld="0" subtotal="count" baseField="13" baseItem="0"/>
  </dataFields>
  <chartFormats count="4">
    <chartFormat chart="3" format="4" series="1">
      <pivotArea type="data" outline="0" fieldPosition="0">
        <references count="2">
          <reference field="4294967294" count="1" selected="0">
            <x v="0"/>
          </reference>
          <reference field="26" count="1" selected="0">
            <x v="0"/>
          </reference>
        </references>
      </pivotArea>
    </chartFormat>
    <chartFormat chart="3" format="5" series="1">
      <pivotArea type="data" outline="0" fieldPosition="0">
        <references count="2">
          <reference field="4294967294" count="1" selected="0">
            <x v="0"/>
          </reference>
          <reference field="26" count="1" selected="0">
            <x v="1"/>
          </reference>
        </references>
      </pivotArea>
    </chartFormat>
    <chartFormat chart="11" format="12" series="1">
      <pivotArea type="data" outline="0" fieldPosition="0">
        <references count="2">
          <reference field="4294967294" count="1" selected="0">
            <x v="0"/>
          </reference>
          <reference field="26" count="1" selected="0">
            <x v="0"/>
          </reference>
        </references>
      </pivotArea>
    </chartFormat>
    <chartFormat chart="11" format="13" series="1">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27584AE-34FD-4D6C-A296-780383E48C26}"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Z12:BD18" firstHeaderRow="1" firstDataRow="2"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items count="12">
        <item x="8"/>
        <item x="6"/>
        <item x="1"/>
        <item x="4"/>
        <item x="3"/>
        <item x="7"/>
        <item x="5"/>
        <item x="2"/>
        <item x="9"/>
        <item x="0"/>
        <item x="10"/>
        <item t="default"/>
      </items>
    </pivotField>
    <pivotField showAll="0"/>
    <pivotField showAll="0"/>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3"/>
        <item x="1"/>
        <item x="0"/>
        <item t="default"/>
      </items>
    </pivotField>
    <pivotField showAll="0">
      <items count="15">
        <item x="4"/>
        <item x="0"/>
        <item x="3"/>
        <item x="10"/>
        <item x="8"/>
        <item x="2"/>
        <item x="9"/>
        <item x="7"/>
        <item x="12"/>
        <item x="6"/>
        <item x="5"/>
        <item x="11"/>
        <item x="13"/>
        <item x="1"/>
        <item t="default"/>
      </items>
    </pivotField>
    <pivotField showAll="0"/>
    <pivotField showAll="0">
      <items count="3">
        <item x="1"/>
        <item x="0"/>
        <item t="default"/>
      </items>
    </pivotField>
    <pivotField showAll="0"/>
    <pivotField showAll="0"/>
    <pivotField showAll="0"/>
    <pivotField axis="axisCol" showAll="0">
      <items count="6">
        <item x="1"/>
        <item x="3"/>
        <item x="4"/>
        <item h="1" x="0"/>
        <item h="1" x="2"/>
        <item t="default"/>
      </items>
    </pivotField>
    <pivotField showAll="0"/>
    <pivotField showAll="0"/>
  </pivotFields>
  <rowFields count="1">
    <field x="13"/>
  </rowFields>
  <rowItems count="5">
    <i>
      <x v="2"/>
    </i>
    <i>
      <x v="1"/>
    </i>
    <i>
      <x/>
    </i>
    <i>
      <x v="3"/>
    </i>
    <i t="grand">
      <x/>
    </i>
  </rowItems>
  <colFields count="1">
    <field x="24"/>
  </colFields>
  <colItems count="4">
    <i>
      <x/>
    </i>
    <i>
      <x v="1"/>
    </i>
    <i>
      <x v="2"/>
    </i>
    <i t="grand">
      <x/>
    </i>
  </colItems>
  <dataFields count="1">
    <dataField name="Count of Ticket No" fld="0" subtotal="count" baseField="13" baseItem="0"/>
  </dataFields>
  <chartFormats count="6">
    <chartFormat chart="3" format="6" series="1">
      <pivotArea type="data" outline="0" fieldPosition="0">
        <references count="2">
          <reference field="4294967294" count="1" selected="0">
            <x v="0"/>
          </reference>
          <reference field="24" count="1" selected="0">
            <x v="0"/>
          </reference>
        </references>
      </pivotArea>
    </chartFormat>
    <chartFormat chart="3" format="7" series="1">
      <pivotArea type="data" outline="0" fieldPosition="0">
        <references count="2">
          <reference field="4294967294" count="1" selected="0">
            <x v="0"/>
          </reference>
          <reference field="24" count="1" selected="0">
            <x v="1"/>
          </reference>
        </references>
      </pivotArea>
    </chartFormat>
    <chartFormat chart="3" format="8" series="1">
      <pivotArea type="data" outline="0" fieldPosition="0">
        <references count="2">
          <reference field="4294967294" count="1" selected="0">
            <x v="0"/>
          </reference>
          <reference field="24" count="1" selected="0">
            <x v="2"/>
          </reference>
        </references>
      </pivotArea>
    </chartFormat>
    <chartFormat chart="12" format="18" series="1">
      <pivotArea type="data" outline="0" fieldPosition="0">
        <references count="2">
          <reference field="4294967294" count="1" selected="0">
            <x v="0"/>
          </reference>
          <reference field="24" count="1" selected="0">
            <x v="0"/>
          </reference>
        </references>
      </pivotArea>
    </chartFormat>
    <chartFormat chart="12" format="19" series="1">
      <pivotArea type="data" outline="0" fieldPosition="0">
        <references count="2">
          <reference field="4294967294" count="1" selected="0">
            <x v="0"/>
          </reference>
          <reference field="24" count="1" selected="0">
            <x v="1"/>
          </reference>
        </references>
      </pivotArea>
    </chartFormat>
    <chartFormat chart="12" format="20" series="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B633DDC-6D29-47E2-9C7D-B4FFB37611AC}"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Z2:BC8" firstHeaderRow="1" firstDataRow="2"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items count="12">
        <item x="8"/>
        <item x="6"/>
        <item x="1"/>
        <item x="4"/>
        <item x="3"/>
        <item x="7"/>
        <item x="5"/>
        <item x="2"/>
        <item x="9"/>
        <item x="0"/>
        <item x="10"/>
        <item t="default"/>
      </items>
    </pivotField>
    <pivotField showAll="0"/>
    <pivotField showAll="0"/>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3"/>
        <item x="1"/>
        <item x="0"/>
        <item t="default"/>
      </items>
    </pivotField>
    <pivotField showAll="0">
      <items count="15">
        <item x="4"/>
        <item x="0"/>
        <item x="3"/>
        <item x="10"/>
        <item x="8"/>
        <item x="2"/>
        <item x="9"/>
        <item x="7"/>
        <item x="12"/>
        <item x="6"/>
        <item x="5"/>
        <item x="11"/>
        <item x="13"/>
        <item x="1"/>
        <item t="default"/>
      </items>
    </pivotField>
    <pivotField showAll="0"/>
    <pivotField axis="axisCol" showAll="0">
      <items count="3">
        <item x="1"/>
        <item x="0"/>
        <item t="default"/>
      </items>
    </pivotField>
    <pivotField showAll="0"/>
    <pivotField showAll="0"/>
    <pivotField showAll="0"/>
    <pivotField showAll="0"/>
    <pivotField showAll="0"/>
    <pivotField showAll="0"/>
  </pivotFields>
  <rowFields count="1">
    <field x="13"/>
  </rowFields>
  <rowItems count="5">
    <i>
      <x v="2"/>
    </i>
    <i>
      <x v="1"/>
    </i>
    <i>
      <x/>
    </i>
    <i>
      <x v="3"/>
    </i>
    <i t="grand">
      <x/>
    </i>
  </rowItems>
  <colFields count="1">
    <field x="20"/>
  </colFields>
  <colItems count="3">
    <i>
      <x/>
    </i>
    <i>
      <x v="1"/>
    </i>
    <i t="grand">
      <x/>
    </i>
  </colItems>
  <dataFields count="1">
    <dataField name="Count of Ticket No" fld="0" subtotal="count" baseField="13" baseItem="0"/>
  </dataFields>
  <chartFormats count="4">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 chart="12" format="12" series="1">
      <pivotArea type="data" outline="0" fieldPosition="0">
        <references count="2">
          <reference field="4294967294" count="1" selected="0">
            <x v="0"/>
          </reference>
          <reference field="20" count="1" selected="0">
            <x v="0"/>
          </reference>
        </references>
      </pivotArea>
    </chartFormat>
    <chartFormat chart="12" format="13"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C6530A4-673D-4C23-BF1C-80419955C9FE}"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U30:EV35" firstHeaderRow="1" firstDataRow="1" firstDataCol="1"/>
  <pivotFields count="27">
    <pivotField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items count="12">
        <item x="8"/>
        <item x="6"/>
        <item x="1"/>
        <item x="4"/>
        <item x="3"/>
        <item x="7"/>
        <item x="5"/>
        <item x="2"/>
        <item x="9"/>
        <item x="0"/>
        <item x="10"/>
        <item t="default"/>
      </items>
    </pivotField>
    <pivotField showAll="0"/>
    <pivotField showAll="0"/>
    <pivotField showAll="0"/>
    <pivotField showAll="0"/>
    <pivotField showAll="0">
      <items count="5">
        <item x="0"/>
        <item x="2"/>
        <item x="1"/>
        <item x="3"/>
        <item t="default"/>
      </items>
    </pivotField>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15">
        <item x="4"/>
        <item x="0"/>
        <item x="3"/>
        <item x="10"/>
        <item x="8"/>
        <item x="2"/>
        <item x="9"/>
        <item x="7"/>
        <item x="12"/>
        <item x="6"/>
        <item x="5"/>
        <item x="11"/>
        <item x="13"/>
        <item x="1"/>
        <item t="default"/>
      </items>
    </pivotField>
    <pivotField showAll="0"/>
    <pivotField showAll="0">
      <items count="3">
        <item x="1"/>
        <item x="0"/>
        <item t="default"/>
      </items>
    </pivotField>
    <pivotField showAll="0"/>
    <pivotField showAll="0"/>
    <pivotField dataField="1" showAll="0"/>
    <pivotField showAll="0">
      <items count="6">
        <item x="1"/>
        <item x="3"/>
        <item x="4"/>
        <item h="1" x="0"/>
        <item h="1" x="2"/>
        <item t="default"/>
      </items>
    </pivotField>
    <pivotField showAll="0"/>
    <pivotField showAll="0">
      <items count="4">
        <item x="0"/>
        <item x="2"/>
        <item h="1" x="1"/>
        <item t="default"/>
      </items>
    </pivotField>
  </pivotFields>
  <rowFields count="1">
    <field x="17"/>
  </rowFields>
  <rowItems count="5">
    <i>
      <x v="2"/>
    </i>
    <i>
      <x v="1"/>
    </i>
    <i>
      <x v="3"/>
    </i>
    <i>
      <x/>
    </i>
    <i t="grand">
      <x/>
    </i>
  </rowItems>
  <colItems count="1">
    <i/>
  </colItems>
  <dataFields count="1">
    <dataField name="Average of Days_In_Solved" fld="23" subtotal="average" baseField="17" baseItem="0"/>
  </dataFields>
  <formats count="1">
    <format dxfId="19">
      <pivotArea collapsedLevelsAreSubtotals="1" fieldPosition="0">
        <references count="1">
          <reference field="17" count="0"/>
        </references>
      </pivotArea>
    </format>
  </formats>
  <chartFormats count="2">
    <chartFormat chart="3"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30C9E0A-B284-4717-ABB8-A3F3E32F422E}"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U22:EX28" firstHeaderRow="1" firstDataRow="2"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items count="12">
        <item x="8"/>
        <item x="6"/>
        <item x="1"/>
        <item x="4"/>
        <item x="3"/>
        <item x="7"/>
        <item x="5"/>
        <item x="2"/>
        <item x="9"/>
        <item x="0"/>
        <item x="10"/>
        <item t="default"/>
      </items>
    </pivotField>
    <pivotField showAll="0"/>
    <pivotField showAll="0"/>
    <pivotField showAll="0"/>
    <pivotField showAll="0"/>
    <pivotField showAll="0">
      <items count="5">
        <item x="0"/>
        <item x="2"/>
        <item x="1"/>
        <item x="3"/>
        <item t="default"/>
      </items>
    </pivotField>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15">
        <item x="4"/>
        <item x="0"/>
        <item x="3"/>
        <item x="10"/>
        <item x="8"/>
        <item x="2"/>
        <item x="9"/>
        <item x="7"/>
        <item x="12"/>
        <item x="6"/>
        <item x="5"/>
        <item x="11"/>
        <item x="13"/>
        <item x="1"/>
        <item t="default"/>
      </items>
    </pivotField>
    <pivotField showAll="0"/>
    <pivotField showAll="0">
      <items count="3">
        <item x="1"/>
        <item x="0"/>
        <item t="default"/>
      </items>
    </pivotField>
    <pivotField showAll="0"/>
    <pivotField showAll="0"/>
    <pivotField showAll="0"/>
    <pivotField showAll="0">
      <items count="6">
        <item x="1"/>
        <item x="3"/>
        <item x="4"/>
        <item h="1" x="0"/>
        <item h="1" x="2"/>
        <item t="default"/>
      </items>
    </pivotField>
    <pivotField showAll="0"/>
    <pivotField axis="axisCol" showAll="0">
      <items count="4">
        <item x="0"/>
        <item x="2"/>
        <item h="1" x="1"/>
        <item t="default"/>
      </items>
    </pivotField>
  </pivotFields>
  <rowFields count="1">
    <field x="17"/>
  </rowFields>
  <rowItems count="5">
    <i>
      <x v="3"/>
    </i>
    <i>
      <x/>
    </i>
    <i>
      <x v="2"/>
    </i>
    <i>
      <x v="1"/>
    </i>
    <i t="grand">
      <x/>
    </i>
  </rowItems>
  <colFields count="1">
    <field x="26"/>
  </colFields>
  <colItems count="3">
    <i>
      <x/>
    </i>
    <i>
      <x v="1"/>
    </i>
    <i t="grand">
      <x/>
    </i>
  </colItems>
  <dataFields count="1">
    <dataField name="Count of Ticket No" fld="0" subtotal="count" baseField="17" baseItem="0"/>
  </dataFields>
  <chartFormats count="4">
    <chartFormat chart="3" format="4" series="1">
      <pivotArea type="data" outline="0" fieldPosition="0">
        <references count="2">
          <reference field="4294967294" count="1" selected="0">
            <x v="0"/>
          </reference>
          <reference field="26" count="1" selected="0">
            <x v="0"/>
          </reference>
        </references>
      </pivotArea>
    </chartFormat>
    <chartFormat chart="3" format="5" series="1">
      <pivotArea type="data" outline="0" fieldPosition="0">
        <references count="2">
          <reference field="4294967294" count="1" selected="0">
            <x v="0"/>
          </reference>
          <reference field="26" count="1" selected="0">
            <x v="1"/>
          </reference>
        </references>
      </pivotArea>
    </chartFormat>
    <chartFormat chart="11" format="12" series="1">
      <pivotArea type="data" outline="0" fieldPosition="0">
        <references count="2">
          <reference field="4294967294" count="1" selected="0">
            <x v="0"/>
          </reference>
          <reference field="26" count="1" selected="0">
            <x v="0"/>
          </reference>
        </references>
      </pivotArea>
    </chartFormat>
    <chartFormat chart="11" format="13" series="1">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54EF5FD-E1F1-4223-AE77-E1DA7B309550}"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U13:EY19" firstHeaderRow="1" firstDataRow="2"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items count="12">
        <item x="8"/>
        <item x="6"/>
        <item x="1"/>
        <item x="4"/>
        <item x="3"/>
        <item x="7"/>
        <item x="5"/>
        <item x="2"/>
        <item x="9"/>
        <item x="0"/>
        <item x="10"/>
        <item t="default"/>
      </items>
    </pivotField>
    <pivotField showAll="0"/>
    <pivotField showAll="0"/>
    <pivotField showAll="0"/>
    <pivotField showAll="0"/>
    <pivotField showAll="0">
      <items count="5">
        <item x="0"/>
        <item x="2"/>
        <item x="1"/>
        <item x="3"/>
        <item t="default"/>
      </items>
    </pivotField>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15">
        <item x="4"/>
        <item x="0"/>
        <item x="3"/>
        <item x="10"/>
        <item x="8"/>
        <item x="2"/>
        <item x="9"/>
        <item x="7"/>
        <item x="12"/>
        <item x="6"/>
        <item x="5"/>
        <item x="11"/>
        <item x="13"/>
        <item x="1"/>
        <item t="default"/>
      </items>
    </pivotField>
    <pivotField showAll="0"/>
    <pivotField showAll="0">
      <items count="3">
        <item x="1"/>
        <item x="0"/>
        <item t="default"/>
      </items>
    </pivotField>
    <pivotField showAll="0"/>
    <pivotField showAll="0"/>
    <pivotField showAll="0"/>
    <pivotField axis="axisCol" showAll="0">
      <items count="6">
        <item x="1"/>
        <item x="3"/>
        <item x="4"/>
        <item h="1" x="0"/>
        <item h="1" x="2"/>
        <item t="default"/>
      </items>
    </pivotField>
    <pivotField showAll="0"/>
    <pivotField showAll="0"/>
  </pivotFields>
  <rowFields count="1">
    <field x="17"/>
  </rowFields>
  <rowItems count="5">
    <i>
      <x v="3"/>
    </i>
    <i>
      <x/>
    </i>
    <i>
      <x v="1"/>
    </i>
    <i>
      <x v="2"/>
    </i>
    <i t="grand">
      <x/>
    </i>
  </rowItems>
  <colFields count="1">
    <field x="24"/>
  </colFields>
  <colItems count="4">
    <i>
      <x/>
    </i>
    <i>
      <x v="1"/>
    </i>
    <i>
      <x v="2"/>
    </i>
    <i t="grand">
      <x/>
    </i>
  </colItems>
  <dataFields count="1">
    <dataField name="Count of Ticket No" fld="0" subtotal="count" baseField="17" baseItem="0"/>
  </dataFields>
  <chartFormats count="6">
    <chartFormat chart="3" format="6" series="1">
      <pivotArea type="data" outline="0" fieldPosition="0">
        <references count="2">
          <reference field="4294967294" count="1" selected="0">
            <x v="0"/>
          </reference>
          <reference field="24" count="1" selected="0">
            <x v="0"/>
          </reference>
        </references>
      </pivotArea>
    </chartFormat>
    <chartFormat chart="3" format="7" series="1">
      <pivotArea type="data" outline="0" fieldPosition="0">
        <references count="2">
          <reference field="4294967294" count="1" selected="0">
            <x v="0"/>
          </reference>
          <reference field="24" count="1" selected="0">
            <x v="1"/>
          </reference>
        </references>
      </pivotArea>
    </chartFormat>
    <chartFormat chart="3" format="8" series="1">
      <pivotArea type="data" outline="0" fieldPosition="0">
        <references count="2">
          <reference field="4294967294" count="1" selected="0">
            <x v="0"/>
          </reference>
          <reference field="24" count="1" selected="0">
            <x v="2"/>
          </reference>
        </references>
      </pivotArea>
    </chartFormat>
    <chartFormat chart="11" format="18" series="1">
      <pivotArea type="data" outline="0" fieldPosition="0">
        <references count="2">
          <reference field="4294967294" count="1" selected="0">
            <x v="0"/>
          </reference>
          <reference field="24" count="1" selected="0">
            <x v="0"/>
          </reference>
        </references>
      </pivotArea>
    </chartFormat>
    <chartFormat chart="11" format="19" series="1">
      <pivotArea type="data" outline="0" fieldPosition="0">
        <references count="2">
          <reference field="4294967294" count="1" selected="0">
            <x v="0"/>
          </reference>
          <reference field="24" count="1" selected="0">
            <x v="1"/>
          </reference>
        </references>
      </pivotArea>
    </chartFormat>
    <chartFormat chart="11" format="20" series="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730B3C7-C18B-4EBC-BB60-51DC1F245617}"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U4:EX10" firstHeaderRow="1" firstDataRow="2"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items count="12">
        <item x="8"/>
        <item x="6"/>
        <item x="1"/>
        <item x="4"/>
        <item x="3"/>
        <item x="7"/>
        <item x="5"/>
        <item x="2"/>
        <item x="9"/>
        <item x="0"/>
        <item x="10"/>
        <item t="default"/>
      </items>
    </pivotField>
    <pivotField showAll="0"/>
    <pivotField showAll="0"/>
    <pivotField showAll="0"/>
    <pivotField showAll="0"/>
    <pivotField showAll="0">
      <items count="5">
        <item x="0"/>
        <item x="2"/>
        <item x="1"/>
        <item x="3"/>
        <item t="default"/>
      </items>
    </pivotField>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15">
        <item x="4"/>
        <item x="0"/>
        <item x="3"/>
        <item x="10"/>
        <item x="8"/>
        <item x="2"/>
        <item x="9"/>
        <item x="7"/>
        <item x="12"/>
        <item x="6"/>
        <item x="5"/>
        <item x="11"/>
        <item x="13"/>
        <item x="1"/>
        <item t="default"/>
      </items>
    </pivotField>
    <pivotField showAll="0"/>
    <pivotField axis="axisCol" showAll="0">
      <items count="3">
        <item x="1"/>
        <item x="0"/>
        <item t="default"/>
      </items>
    </pivotField>
    <pivotField showAll="0"/>
    <pivotField showAll="0"/>
    <pivotField showAll="0"/>
    <pivotField showAll="0"/>
    <pivotField showAll="0"/>
    <pivotField showAll="0"/>
  </pivotFields>
  <rowFields count="1">
    <field x="17"/>
  </rowFields>
  <rowItems count="5">
    <i>
      <x v="3"/>
    </i>
    <i>
      <x/>
    </i>
    <i>
      <x v="2"/>
    </i>
    <i>
      <x v="1"/>
    </i>
    <i t="grand">
      <x/>
    </i>
  </rowItems>
  <colFields count="1">
    <field x="20"/>
  </colFields>
  <colItems count="3">
    <i>
      <x/>
    </i>
    <i>
      <x v="1"/>
    </i>
    <i t="grand">
      <x/>
    </i>
  </colItems>
  <dataFields count="1">
    <dataField name="Count of Ticket No" fld="0" subtotal="count" baseField="17" baseItem="0"/>
  </dataFields>
  <chartFormats count="4">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 chart="11" format="12" series="1">
      <pivotArea type="data" outline="0" fieldPosition="0">
        <references count="2">
          <reference field="4294967294" count="1" selected="0">
            <x v="0"/>
          </reference>
          <reference field="20" count="1" selected="0">
            <x v="0"/>
          </reference>
        </references>
      </pivotArea>
    </chartFormat>
    <chartFormat chart="11" format="13"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D6884E8-11C2-4C00-934A-313427325C73}" name="PivotTable7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F21:EI23" firstHeaderRow="1" firstDataRow="2"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6">
        <item x="1"/>
        <item x="3"/>
        <item x="4"/>
        <item h="1" x="0"/>
        <item x="2"/>
        <item t="default"/>
      </items>
    </pivotField>
    <pivotField showAll="0"/>
    <pivotField axis="axisCol" showAll="0">
      <items count="4">
        <item x="0"/>
        <item x="2"/>
        <item h="1" x="1"/>
        <item t="default"/>
      </items>
    </pivotField>
  </pivotFields>
  <rowItems count="1">
    <i/>
  </rowItems>
  <colFields count="1">
    <field x="26"/>
  </colFields>
  <colItems count="3">
    <i>
      <x/>
    </i>
    <i>
      <x v="1"/>
    </i>
    <i t="grand">
      <x/>
    </i>
  </colItems>
  <dataFields count="1">
    <dataField name="Count of Ticket No" fld="0" subtotal="count" baseField="26" baseItem="0"/>
  </dataFields>
  <chartFormats count="8">
    <chartFormat chart="1" format="2" series="1">
      <pivotArea type="data" outline="0" fieldPosition="0">
        <references count="2">
          <reference field="4294967294" count="1" selected="0">
            <x v="0"/>
          </reference>
          <reference field="26" count="1" selected="0">
            <x v="0"/>
          </reference>
        </references>
      </pivotArea>
    </chartFormat>
    <chartFormat chart="1" format="3" series="1">
      <pivotArea type="data" outline="0" fieldPosition="0">
        <references count="2">
          <reference field="4294967294" count="1" selected="0">
            <x v="0"/>
          </reference>
          <reference field="26" count="1" selected="0">
            <x v="1"/>
          </reference>
        </references>
      </pivotArea>
    </chartFormat>
    <chartFormat chart="6" format="4" series="1">
      <pivotArea type="data" outline="0" fieldPosition="0">
        <references count="2">
          <reference field="4294967294" count="1" selected="0">
            <x v="0"/>
          </reference>
          <reference field="26" count="1" selected="0">
            <x v="0"/>
          </reference>
        </references>
      </pivotArea>
    </chartFormat>
    <chartFormat chart="6" format="5" series="1">
      <pivotArea type="data" outline="0" fieldPosition="0">
        <references count="2">
          <reference field="4294967294" count="1" selected="0">
            <x v="0"/>
          </reference>
          <reference field="26" count="1" selected="0">
            <x v="1"/>
          </reference>
        </references>
      </pivotArea>
    </chartFormat>
    <chartFormat chart="6" format="6" series="1">
      <pivotArea type="data" outline="0" fieldPosition="0">
        <references count="1">
          <reference field="4294967294" count="1" selected="0">
            <x v="0"/>
          </reference>
        </references>
      </pivotArea>
    </chartFormat>
    <chartFormat chart="14" format="12" series="1">
      <pivotArea type="data" outline="0" fieldPosition="0">
        <references count="2">
          <reference field="4294967294" count="1" selected="0">
            <x v="0"/>
          </reference>
          <reference field="26" count="1" selected="0">
            <x v="0"/>
          </reference>
        </references>
      </pivotArea>
    </chartFormat>
    <chartFormat chart="14" format="13" series="1">
      <pivotArea type="data" outline="0" fieldPosition="0">
        <references count="2">
          <reference field="4294967294" count="1" selected="0">
            <x v="0"/>
          </reference>
          <reference field="26" count="1" selected="0">
            <x v="1"/>
          </reference>
        </references>
      </pivotArea>
    </chartFormat>
    <chartFormat chart="14"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B651E4C-BD46-4EAC-9C4B-BBCAD0D2BCE1}" name="PivotTable7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F17:EK19" firstHeaderRow="1" firstDataRow="2"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Col" showAll="0">
      <items count="6">
        <item x="1"/>
        <item x="3"/>
        <item x="4"/>
        <item h="1" x="0"/>
        <item x="2"/>
        <item t="default"/>
      </items>
    </pivotField>
    <pivotField showAll="0"/>
    <pivotField showAll="0"/>
  </pivotFields>
  <rowItems count="1">
    <i/>
  </rowItems>
  <colFields count="1">
    <field x="24"/>
  </colFields>
  <colItems count="5">
    <i>
      <x/>
    </i>
    <i>
      <x v="1"/>
    </i>
    <i>
      <x v="2"/>
    </i>
    <i>
      <x v="4"/>
    </i>
    <i t="grand">
      <x/>
    </i>
  </colItems>
  <dataFields count="1">
    <dataField name="Count of Ticket No" fld="0" subtotal="count" baseField="20" baseItem="0"/>
  </dataFields>
  <chartFormats count="22">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 chart="0" format="3" series="1">
      <pivotArea type="data" outline="0" fieldPosition="0">
        <references count="2">
          <reference field="4294967294" count="1" selected="0">
            <x v="0"/>
          </reference>
          <reference field="24" count="1" selected="0">
            <x v="4"/>
          </reference>
        </references>
      </pivotArea>
    </chartFormat>
    <chartFormat chart="1" format="4" series="1">
      <pivotArea type="data" outline="0" fieldPosition="0">
        <references count="2">
          <reference field="4294967294" count="1" selected="0">
            <x v="0"/>
          </reference>
          <reference field="24" count="1" selected="0">
            <x v="0"/>
          </reference>
        </references>
      </pivotArea>
    </chartFormat>
    <chartFormat chart="1" format="5" series="1">
      <pivotArea type="data" outline="0" fieldPosition="0">
        <references count="2">
          <reference field="4294967294" count="1" selected="0">
            <x v="0"/>
          </reference>
          <reference field="24" count="1" selected="0">
            <x v="1"/>
          </reference>
        </references>
      </pivotArea>
    </chartFormat>
    <chartFormat chart="1" format="6" series="1">
      <pivotArea type="data" outline="0" fieldPosition="0">
        <references count="2">
          <reference field="4294967294" count="1" selected="0">
            <x v="0"/>
          </reference>
          <reference field="24" count="1" selected="0">
            <x v="2"/>
          </reference>
        </references>
      </pivotArea>
    </chartFormat>
    <chartFormat chart="1" format="7" series="1">
      <pivotArea type="data" outline="0" fieldPosition="0">
        <references count="2">
          <reference field="4294967294" count="1" selected="0">
            <x v="0"/>
          </reference>
          <reference field="24" count="1" selected="0">
            <x v="4"/>
          </reference>
        </references>
      </pivotArea>
    </chartFormat>
    <chartFormat chart="2" format="8" series="1">
      <pivotArea type="data" outline="0" fieldPosition="0">
        <references count="2">
          <reference field="4294967294" count="1" selected="0">
            <x v="0"/>
          </reference>
          <reference field="24" count="1" selected="0">
            <x v="0"/>
          </reference>
        </references>
      </pivotArea>
    </chartFormat>
    <chartFormat chart="2" format="9" series="1">
      <pivotArea type="data" outline="0" fieldPosition="0">
        <references count="2">
          <reference field="4294967294" count="1" selected="0">
            <x v="0"/>
          </reference>
          <reference field="24" count="1" selected="0">
            <x v="1"/>
          </reference>
        </references>
      </pivotArea>
    </chartFormat>
    <chartFormat chart="2" format="10" series="1">
      <pivotArea type="data" outline="0" fieldPosition="0">
        <references count="2">
          <reference field="4294967294" count="1" selected="0">
            <x v="0"/>
          </reference>
          <reference field="24" count="1" selected="0">
            <x v="2"/>
          </reference>
        </references>
      </pivotArea>
    </chartFormat>
    <chartFormat chart="2" format="11" series="1">
      <pivotArea type="data" outline="0" fieldPosition="0">
        <references count="2">
          <reference field="4294967294" count="1" selected="0">
            <x v="0"/>
          </reference>
          <reference field="24" count="1" selected="0">
            <x v="4"/>
          </reference>
        </references>
      </pivotArea>
    </chartFormat>
    <chartFormat chart="3" format="8" series="1">
      <pivotArea type="data" outline="0" fieldPosition="0">
        <references count="2">
          <reference field="4294967294" count="1" selected="0">
            <x v="0"/>
          </reference>
          <reference field="24" count="1" selected="0">
            <x v="0"/>
          </reference>
        </references>
      </pivotArea>
    </chartFormat>
    <chartFormat chart="3" format="9" series="1">
      <pivotArea type="data" outline="0" fieldPosition="0">
        <references count="2">
          <reference field="4294967294" count="1" selected="0">
            <x v="0"/>
          </reference>
          <reference field="24" count="1" selected="0">
            <x v="1"/>
          </reference>
        </references>
      </pivotArea>
    </chartFormat>
    <chartFormat chart="3" format="10" series="1">
      <pivotArea type="data" outline="0" fieldPosition="0">
        <references count="2">
          <reference field="4294967294" count="1" selected="0">
            <x v="0"/>
          </reference>
          <reference field="24" count="1" selected="0">
            <x v="2"/>
          </reference>
        </references>
      </pivotArea>
    </chartFormat>
    <chartFormat chart="3" format="11" series="1">
      <pivotArea type="data" outline="0" fieldPosition="0">
        <references count="2">
          <reference field="4294967294" count="1" selected="0">
            <x v="0"/>
          </reference>
          <reference field="24" count="1" selected="0">
            <x v="4"/>
          </reference>
        </references>
      </pivotArea>
    </chartFormat>
    <chartFormat chart="3" format="12" series="1">
      <pivotArea type="data" outline="0" fieldPosition="0">
        <references count="1">
          <reference field="4294967294" count="1" selected="0">
            <x v="0"/>
          </reference>
        </references>
      </pivotArea>
    </chartFormat>
    <chartFormat chart="13" format="25" series="1">
      <pivotArea type="data" outline="0" fieldPosition="0">
        <references count="2">
          <reference field="4294967294" count="1" selected="0">
            <x v="0"/>
          </reference>
          <reference field="24" count="1" selected="0">
            <x v="0"/>
          </reference>
        </references>
      </pivotArea>
    </chartFormat>
    <chartFormat chart="13" format="26" series="1">
      <pivotArea type="data" outline="0" fieldPosition="0">
        <references count="2">
          <reference field="4294967294" count="1" selected="0">
            <x v="0"/>
          </reference>
          <reference field="24" count="1" selected="0">
            <x v="1"/>
          </reference>
        </references>
      </pivotArea>
    </chartFormat>
    <chartFormat chart="13" format="27" series="1">
      <pivotArea type="data" outline="0" fieldPosition="0">
        <references count="2">
          <reference field="4294967294" count="1" selected="0">
            <x v="0"/>
          </reference>
          <reference field="24" count="1" selected="0">
            <x v="2"/>
          </reference>
        </references>
      </pivotArea>
    </chartFormat>
    <chartFormat chart="13" format="28" series="1">
      <pivotArea type="data" outline="0" fieldPosition="0">
        <references count="2">
          <reference field="4294967294" count="1" selected="0">
            <x v="0"/>
          </reference>
          <reference field="24" count="1" selected="0">
            <x v="4"/>
          </reference>
        </references>
      </pivotArea>
    </chartFormat>
    <chartFormat chart="13" format="2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21B6498-0194-4700-A00B-A7A2FC5726DE}" name="PivotTable7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F12:EF13" firstHeaderRow="1" firstDataRow="1" firstDataCol="0"/>
  <pivotFields count="27">
    <pivotField showAll="0">
      <items count="226">
        <item x="83"/>
        <item x="29"/>
        <item x="77"/>
        <item x="96"/>
        <item x="51"/>
        <item x="98"/>
        <item x="175"/>
        <item x="4"/>
        <item x="55"/>
        <item x="7"/>
        <item x="197"/>
        <item x="120"/>
        <item x="74"/>
        <item x="3"/>
        <item x="179"/>
        <item x="31"/>
        <item x="85"/>
        <item x="151"/>
        <item x="123"/>
        <item x="18"/>
        <item x="157"/>
        <item x="8"/>
        <item x="58"/>
        <item x="79"/>
        <item x="106"/>
        <item x="174"/>
        <item x="211"/>
        <item x="94"/>
        <item x="82"/>
        <item x="126"/>
        <item x="136"/>
        <item x="76"/>
        <item x="90"/>
        <item x="70"/>
        <item x="178"/>
        <item x="93"/>
        <item x="212"/>
        <item x="100"/>
        <item x="184"/>
        <item x="103"/>
        <item x="218"/>
        <item x="128"/>
        <item x="188"/>
        <item x="148"/>
        <item x="216"/>
        <item x="210"/>
        <item x="48"/>
        <item x="72"/>
        <item x="91"/>
        <item x="186"/>
        <item x="199"/>
        <item x="165"/>
        <item x="80"/>
        <item x="20"/>
        <item x="5"/>
        <item x="24"/>
        <item x="172"/>
        <item x="205"/>
        <item x="37"/>
        <item x="69"/>
        <item x="183"/>
        <item x="147"/>
        <item x="97"/>
        <item x="122"/>
        <item x="208"/>
        <item x="156"/>
        <item x="115"/>
        <item x="143"/>
        <item x="104"/>
        <item x="131"/>
        <item x="110"/>
        <item x="117"/>
        <item x="60"/>
        <item x="44"/>
        <item x="176"/>
        <item x="181"/>
        <item x="201"/>
        <item x="13"/>
        <item x="95"/>
        <item x="146"/>
        <item x="162"/>
        <item x="138"/>
        <item x="203"/>
        <item x="133"/>
        <item x="52"/>
        <item x="25"/>
        <item x="223"/>
        <item x="6"/>
        <item x="22"/>
        <item x="189"/>
        <item x="213"/>
        <item x="222"/>
        <item x="207"/>
        <item x="114"/>
        <item x="67"/>
        <item x="195"/>
        <item x="16"/>
        <item x="99"/>
        <item x="160"/>
        <item x="38"/>
        <item x="9"/>
        <item x="101"/>
        <item x="84"/>
        <item x="204"/>
        <item x="113"/>
        <item x="32"/>
        <item x="10"/>
        <item x="65"/>
        <item x="168"/>
        <item x="33"/>
        <item x="64"/>
        <item x="87"/>
        <item x="59"/>
        <item x="140"/>
        <item x="42"/>
        <item x="71"/>
        <item x="119"/>
        <item x="108"/>
        <item x="49"/>
        <item x="61"/>
        <item x="121"/>
        <item x="11"/>
        <item x="155"/>
        <item x="135"/>
        <item x="130"/>
        <item x="116"/>
        <item x="109"/>
        <item x="152"/>
        <item x="45"/>
        <item x="150"/>
        <item x="169"/>
        <item x="139"/>
        <item x="141"/>
        <item x="159"/>
        <item x="88"/>
        <item x="111"/>
        <item x="30"/>
        <item x="112"/>
        <item x="209"/>
        <item x="23"/>
        <item x="202"/>
        <item x="66"/>
        <item x="149"/>
        <item x="129"/>
        <item x="219"/>
        <item x="145"/>
        <item x="21"/>
        <item x="193"/>
        <item x="73"/>
        <item x="217"/>
        <item x="14"/>
        <item x="171"/>
        <item x="56"/>
        <item x="1"/>
        <item x="102"/>
        <item x="28"/>
        <item x="215"/>
        <item x="41"/>
        <item x="105"/>
        <item x="54"/>
        <item x="12"/>
        <item x="164"/>
        <item x="170"/>
        <item x="46"/>
        <item x="35"/>
        <item x="191"/>
        <item x="192"/>
        <item x="206"/>
        <item x="173"/>
        <item x="198"/>
        <item x="17"/>
        <item x="81"/>
        <item x="161"/>
        <item x="75"/>
        <item x="158"/>
        <item x="15"/>
        <item x="50"/>
        <item x="36"/>
        <item x="167"/>
        <item x="118"/>
        <item x="163"/>
        <item x="39"/>
        <item x="124"/>
        <item x="185"/>
        <item x="63"/>
        <item x="214"/>
        <item x="182"/>
        <item x="57"/>
        <item x="53"/>
        <item x="196"/>
        <item x="2"/>
        <item x="224"/>
        <item x="43"/>
        <item x="166"/>
        <item x="180"/>
        <item x="187"/>
        <item x="132"/>
        <item x="19"/>
        <item x="125"/>
        <item x="134"/>
        <item x="86"/>
        <item x="47"/>
        <item x="107"/>
        <item x="40"/>
        <item x="92"/>
        <item x="220"/>
        <item x="34"/>
        <item x="200"/>
        <item x="154"/>
        <item x="26"/>
        <item x="144"/>
        <item x="142"/>
        <item x="62"/>
        <item x="27"/>
        <item x="0"/>
        <item x="68"/>
        <item x="190"/>
        <item x="221"/>
        <item x="177"/>
        <item x="153"/>
        <item x="194"/>
        <item x="127"/>
        <item x="137"/>
        <item x="78"/>
        <item x="89"/>
        <item t="default"/>
      </items>
    </pivotField>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dataField="1" showAll="0"/>
    <pivotField showAll="0"/>
    <pivotField showAll="0"/>
    <pivotField showAll="0"/>
  </pivotFields>
  <rowItems count="1">
    <i/>
  </rowItems>
  <colItems count="1">
    <i/>
  </colItems>
  <dataFields count="1">
    <dataField name="Average of Days_In_Solved" fld="23" subtotal="average" baseField="0" baseItem="0" numFmtId="2"/>
  </dataFields>
  <formats count="1">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5EE3120-0C88-4C9B-82E9-396A64183452}" name="PivotTable7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F6:EG9" firstHeaderRow="1" firstDataRow="1" firstDataCol="1"/>
  <pivotFields count="27">
    <pivotField dataField="1" showAll="0"/>
    <pivotField numFmtId="2" showAll="0"/>
    <pivotField numFmtId="2" showAll="0"/>
    <pivotField showAll="0">
      <items count="3">
        <item x="0"/>
        <item x="1"/>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s>
  <rowFields count="1">
    <field x="20"/>
  </rowFields>
  <rowItems count="3">
    <i>
      <x/>
    </i>
    <i>
      <x v="1"/>
    </i>
    <i t="grand">
      <x/>
    </i>
  </rowItems>
  <colItems count="1">
    <i/>
  </colItems>
  <dataFields count="1">
    <dataField name="Count of Ticket No" fld="0" subtotal="count" baseField="2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2BC8CCC-B45E-4212-B5C0-6DD78A72085A}" sourceName="MONTH">
  <pivotTables>
    <pivotTable tabId="1" name="PivotTable70"/>
    <pivotTable tabId="1" name="PivotTable71"/>
    <pivotTable tabId="1" name="PivotTable72"/>
    <pivotTable tabId="1" name="PivotTable73"/>
  </pivotTables>
  <data>
    <tabular pivotCacheId="18484733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FFBCDAC8-15C1-49B5-8C16-84564B2C3107}" sourceName="WEEK">
  <pivotTables>
    <pivotTable tabId="1" name="PivotTable70"/>
    <pivotTable tabId="1" name="PivotTable71"/>
    <pivotTable tabId="1" name="PivotTable72"/>
    <pivotTable tabId="1" name="PivotTable73"/>
  </pivotTables>
  <data>
    <tabular pivotCacheId="184847336">
      <items count="9">
        <i x="0" s="1"/>
        <i x="1" s="1"/>
        <i x="2" s="1"/>
        <i x="3" s="1"/>
        <i x="4" s="1"/>
        <i x="5" s="1"/>
        <i x="6" s="1"/>
        <i x="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8B203158-7662-42BE-8DFE-1294034E4BDE}" sourceName="MONTH">
  <pivotTables>
    <pivotTable tabId="1" name="PivotTable1"/>
    <pivotTable tabId="1" name="PivotTable2"/>
    <pivotTable tabId="1" name="PivotTable3"/>
    <pivotTable tabId="1" name="PivotTable4"/>
  </pivotTables>
  <data>
    <tabular pivotCacheId="18484733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1" xr10:uid="{31D22FF6-704F-44A6-B88C-5DC0F578FBBB}" sourceName="WEEK">
  <pivotTables>
    <pivotTable tabId="1" name="PivotTable1"/>
    <pivotTable tabId="1" name="PivotTable2"/>
    <pivotTable tabId="1" name="PivotTable3"/>
    <pivotTable tabId="1" name="PivotTable4"/>
  </pivotTables>
  <data>
    <tabular pivotCacheId="184847336">
      <items count="9">
        <i x="0" s="1"/>
        <i x="1" s="1"/>
        <i x="2" s="1"/>
        <i x="3" s="1"/>
        <i x="4" s="1"/>
        <i x="5" s="1"/>
        <i x="6" s="1"/>
        <i x="7"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 xr10:uid="{B52C630C-3297-42A5-A1C3-C10FF3AF20CC}" sourceName="Assigned To">
  <pivotTables>
    <pivotTable tabId="1" name="PivotTable1"/>
    <pivotTable tabId="1" name="PivotTable2"/>
    <pivotTable tabId="1" name="PivotTable3"/>
    <pivotTable tabId="1" name="PivotTable4"/>
  </pivotTables>
  <data>
    <tabular pivotCacheId="184847336">
      <items count="11">
        <i x="8" s="1"/>
        <i x="6" s="1"/>
        <i x="1" s="1"/>
        <i x="4" s="1"/>
        <i x="3" s="1"/>
        <i x="7" s="1"/>
        <i x="5" s="1"/>
        <i x="2" s="1"/>
        <i x="9" s="1"/>
        <i x="0" s="1"/>
        <i x="1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position_Folder_Level_2" xr10:uid="{D58CE5B4-EAFB-46C1-8042-9BA325D1C0E8}" sourceName="Disposition Folder Level 2">
  <pivotTables>
    <pivotTable tabId="1" name="PivotTable1"/>
    <pivotTable tabId="1" name="PivotTable2"/>
    <pivotTable tabId="1" name="PivotTable3"/>
    <pivotTable tabId="1" name="PivotTable4"/>
  </pivotTables>
  <data>
    <tabular pivotCacheId="184847336">
      <items count="4">
        <i x="0" s="1"/>
        <i x="2"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2___NPS" xr10:uid="{2136D5BB-C71C-4545-908E-E69A53F6A3B4}" sourceName="Issue 2 - NPS">
  <pivotTables>
    <pivotTable tabId="1" name="PivotTable1"/>
    <pivotTable tabId="1" name="PivotTable2"/>
    <pivotTable tabId="1" name="PivotTable3"/>
    <pivotTable tabId="1" name="PivotTable4"/>
  </pivotTables>
  <data>
    <tabular pivotCacheId="184847336">
      <items count="14">
        <i x="4" s="1"/>
        <i x="0" s="1"/>
        <i x="3" s="1"/>
        <i x="10" s="1"/>
        <i x="8" s="1"/>
        <i x="2" s="1"/>
        <i x="9" s="1"/>
        <i x="7" s="1"/>
        <i x="12" s="1"/>
        <i x="6" s="1"/>
        <i x="5" s="1"/>
        <i x="11" s="1"/>
        <i x="13"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0FB20B62-660C-467F-BFDB-E372B0EAB85A}" sourceName="MONTH">
  <pivotTables>
    <pivotTable tabId="1" name="PivotTable5"/>
    <pivotTable tabId="1" name="PivotTable6"/>
    <pivotTable tabId="1" name="PivotTable7"/>
    <pivotTable tabId="1" name="PivotTable8"/>
  </pivotTables>
  <data>
    <tabular pivotCacheId="184847336">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2" xr10:uid="{9B60D5BA-8470-4A12-AEF2-A9B0CBEADEAE}" sourceName="WEEK">
  <pivotTables>
    <pivotTable tabId="1" name="PivotTable5"/>
    <pivotTable tabId="1" name="PivotTable6"/>
    <pivotTable tabId="1" name="PivotTable7"/>
    <pivotTable tabId="1" name="PivotTable8"/>
  </pivotTables>
  <data>
    <tabular pivotCacheId="184847336">
      <items count="9">
        <i x="0" s="1"/>
        <i x="1" s="1"/>
        <i x="2" s="1"/>
        <i x="3" s="1"/>
        <i x="4" s="1"/>
        <i x="5" s="1"/>
        <i x="6" s="1"/>
        <i x="7" s="1"/>
        <i x="8"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1" xr10:uid="{DABC86BC-E38A-4CF1-8135-5E953D6DB413}" sourceName="Assigned To">
  <pivotTables>
    <pivotTable tabId="1" name="PivotTable5"/>
    <pivotTable tabId="1" name="PivotTable6"/>
    <pivotTable tabId="1" name="PivotTable7"/>
    <pivotTable tabId="1" name="PivotTable8"/>
  </pivotTables>
  <data>
    <tabular pivotCacheId="184847336">
      <items count="11">
        <i x="8" s="1"/>
        <i x="6" s="1"/>
        <i x="1" s="1"/>
        <i x="4" s="1"/>
        <i x="3" s="1"/>
        <i x="7" s="1"/>
        <i x="5" s="1"/>
        <i x="2" s="1"/>
        <i x="9" s="1"/>
        <i x="0" s="1"/>
        <i x="1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Name" xr10:uid="{C7C4FEBB-70BA-4943-8027-19770F59D85B}" sourceName="Program Name">
  <pivotTables>
    <pivotTable tabId="1" name="PivotTable5"/>
    <pivotTable tabId="1" name="PivotTable6"/>
    <pivotTable tabId="1" name="PivotTable7"/>
    <pivotTable tabId="1" name="PivotTable8"/>
  </pivotTables>
  <data>
    <tabular pivotCacheId="184847336">
      <items count="4">
        <i x="2" s="1"/>
        <i x="3" s="1"/>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2___NPS1" xr10:uid="{A798A070-9D29-4255-8C8D-2CA54C5A6EAA}" sourceName="Issue 2 - NPS">
  <pivotTables>
    <pivotTable tabId="1" name="PivotTable5"/>
    <pivotTable tabId="1" name="PivotTable6"/>
    <pivotTable tabId="1" name="PivotTable7"/>
    <pivotTable tabId="1" name="PivotTable8"/>
  </pivotTables>
  <data>
    <tabular pivotCacheId="184847336">
      <items count="14">
        <i x="4" s="1"/>
        <i x="0" s="1"/>
        <i x="3" s="1"/>
        <i x="10" s="1"/>
        <i x="8" s="1"/>
        <i x="2" s="1"/>
        <i x="9" s="1"/>
        <i x="7" s="1"/>
        <i x="12" s="1"/>
        <i x="6" s="1"/>
        <i x="5" s="1"/>
        <i x="11" s="1"/>
        <i x="13" s="1"/>
        <i x="1"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position_Folder_Level_21" xr10:uid="{83848345-52B1-41CE-8B33-9DFC0AFEA6F2}" sourceName="Disposition Folder Level 2">
  <pivotTables>
    <pivotTable tabId="1" name="PivotTable17"/>
    <pivotTable tabId="1" name="PivotTable18"/>
    <pivotTable tabId="1" name="PivotTable19"/>
    <pivotTable tabId="1" name="PivotTable20"/>
  </pivotTables>
  <data>
    <tabular pivotCacheId="184847336">
      <items count="4">
        <i x="0" s="1"/>
        <i x="2" s="1"/>
        <i x="1" s="1"/>
        <i x="3"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B00B9318-5551-422E-87AB-98895257F71B}" sourceName="MONTH">
  <pivotTables>
    <pivotTable tabId="1" name="PivotTable21"/>
    <pivotTable tabId="1" name="PivotTable22"/>
  </pivotTables>
  <data>
    <tabular pivotCacheId="184847336">
      <items count="2">
        <i x="0" s="1"/>
        <i x="1"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3" xr10:uid="{56EE458E-73A8-4B0A-A83B-DD1018020B73}" sourceName="WEEK">
  <pivotTables>
    <pivotTable tabId="1" name="PivotTable21"/>
    <pivotTable tabId="1" name="PivotTable22"/>
  </pivotTables>
  <data>
    <tabular pivotCacheId="184847336">
      <items count="9">
        <i x="0" s="1"/>
        <i x="1" s="1"/>
        <i x="2" s="1"/>
        <i x="3" s="1"/>
        <i x="4" s="1"/>
        <i x="5" s="1"/>
        <i x="6" s="1"/>
        <i x="7" s="1"/>
        <i x="8"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2" xr10:uid="{C9F3E9DC-5CD3-4BB0-9559-37B97BFC78EB}" sourceName="Assigned To">
  <pivotTables>
    <pivotTable tabId="1" name="PivotTable21"/>
    <pivotTable tabId="1" name="PivotTable22"/>
  </pivotTables>
  <data>
    <tabular pivotCacheId="184847336">
      <items count="11">
        <i x="8" s="1"/>
        <i x="6" s="1"/>
        <i x="1" s="1"/>
        <i x="4" s="1"/>
        <i x="3" s="1"/>
        <i x="7" s="1"/>
        <i x="5" s="1"/>
        <i x="2" s="1"/>
        <i x="9" s="1"/>
        <i x="0" s="1"/>
        <i x="10"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2___NPS2" xr10:uid="{A6AFA4F4-7D65-41A3-9649-FC9EFC42BE07}" sourceName="Issue 2 - NPS">
  <pivotTables>
    <pivotTable tabId="1" name="PivotTable21"/>
    <pivotTable tabId="1" name="PivotTable22"/>
  </pivotTables>
  <data>
    <tabular pivotCacheId="184847336">
      <items count="14">
        <i x="4" s="1"/>
        <i x="0" s="1"/>
        <i x="3" s="1"/>
        <i x="10" s="1"/>
        <i x="8" s="1"/>
        <i x="2" s="1"/>
        <i x="9" s="1"/>
        <i x="7" s="1"/>
        <i x="12" s="1"/>
        <i x="6" s="1"/>
        <i x="5" s="1"/>
        <i x="11" s="1"/>
        <i x="13" s="1"/>
        <i x="1"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0A5FB57-8714-4D6C-B58D-5EDEA4CB16F6}" sourceName="Status">
  <pivotTables>
    <pivotTable tabId="1" name="PivotTable21"/>
    <pivotTable tabId="1" name="PivotTable22"/>
  </pivotTables>
  <data>
    <tabular pivotCacheId="184847336">
      <items count="2">
        <i x="1" s="1"/>
        <i x="0"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4" xr10:uid="{25885B3A-40AE-45BC-A51E-D2D98896FCB3}" sourceName="MONTH">
  <pivotTables>
    <pivotTable tabId="1" name="PivotTable23"/>
    <pivotTable tabId="1" name="PivotTable24"/>
    <pivotTable tabId="1" name="PivotTable25"/>
    <pivotTable tabId="1" name="PivotTable26"/>
  </pivotTables>
  <data>
    <tabular pivotCacheId="184847336">
      <items count="2">
        <i x="0" s="1"/>
        <i x="1"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4" xr10:uid="{C77B72A7-71F5-4CD6-8B46-B6C6DEC364AB}" sourceName="WEEK">
  <pivotTables>
    <pivotTable tabId="1" name="PivotTable23"/>
    <pivotTable tabId="1" name="PivotTable24"/>
    <pivotTable tabId="1" name="PivotTable25"/>
    <pivotTable tabId="1" name="PivotTable26"/>
  </pivotTables>
  <data>
    <tabular pivotCacheId="184847336">
      <items count="9">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4AC7E00-491F-4048-B02C-0EB142E8440C}" cache="Slicer_MONTH" caption="MONTH" rowHeight="234950"/>
  <slicer name="WEEK" xr10:uid="{A96A48FC-5FF8-4FDE-BEC7-07225104855D}" cache="Slicer_WEEK" caption="WEEK" rowHeight="234950"/>
  <slicer name="MONTH 2" xr10:uid="{CB95E2EF-0980-4B28-886B-93302DD27E7B}" cache="Slicer_MONTH1" caption="MONTH" rowHeight="234950"/>
  <slicer name="WEEK 2" xr10:uid="{66E4FEE3-2FA9-4161-B082-DD6FB694CE04}" cache="Slicer_WEEK1" caption="WEEK" rowHeight="234950"/>
  <slicer name="Assigned To" xr10:uid="{6BD5CC30-C609-4C3E-9142-5C42051A9634}" cache="Slicer_Assigned_To" caption="Assigned To" rowHeight="234950"/>
  <slicer name="Disposition Folder Level 2" xr10:uid="{D7EB4906-1CC1-45B0-99A1-EF665DA63606}" cache="Slicer_Disposition_Folder_Level_2" caption="Disposition Folder Level 2" rowHeight="234950"/>
  <slicer name="Issue 2 - NPS" xr10:uid="{61F95398-4BE1-4F42-BA7D-8F7F2E13AC7E}" cache="Slicer_Issue_2___NPS" caption="Issue 2 - NPS" rowHeight="234950"/>
  <slicer name="MONTH 4" xr10:uid="{8CCC1316-5E54-4807-B5B6-D3850C1EB68D}" cache="Slicer_MONTH2" caption="MONTH" rowHeight="234950"/>
  <slicer name="MONTH 6" xr10:uid="{369E04E7-7999-4587-B79D-97B868D4F637}" cache="Slicer_MONTH2" caption="MONTH" rowHeight="234950"/>
  <slicer name="MONTH 8" xr10:uid="{62DED37D-B7CF-4CD9-B4A4-7496479E032F}" cache="Slicer_MONTH2" caption="MONTH" rowHeight="234950"/>
  <slicer name="WEEK 4" xr10:uid="{725B45B3-203D-49B1-B6F5-8A19A1B3ADD0}" cache="Slicer_WEEK2" caption="WEEK" rowHeight="234950"/>
  <slicer name="WEEK 6" xr10:uid="{F25ECB23-6345-40FD-B62F-33D8E790DCE5}" cache="Slicer_WEEK2" caption="WEEK" rowHeight="234950"/>
  <slicer name="WEEK 8" xr10:uid="{C6AC57EB-810B-4D8E-B36E-3FF5804F87FC}" cache="Slicer_WEEK2" caption="WEEK" rowHeight="234950"/>
  <slicer name="Assigned To 2" xr10:uid="{3E35B7EF-1B4E-4D1F-8049-524A52CB3EBD}" cache="Slicer_Assigned_To1" caption="Assigned To" rowHeight="234950"/>
  <slicer name="Assigned To 4" xr10:uid="{09C49C86-1D48-4113-929A-D96B69D4CEAE}" cache="Slicer_Assigned_To1" caption="Assigned To" rowHeight="234950"/>
  <slicer name="Program Name" xr10:uid="{78F1D2C1-2CCB-4A33-854B-1FEB4400C274}" cache="Slicer_Program_Name" caption="Program Name" rowHeight="234950"/>
  <slicer name="Program Name 2" xr10:uid="{09E8EF0D-9AFA-44C1-9DD2-B0D653D7DE53}" cache="Slicer_Program_Name" caption="Program Name" rowHeight="234950"/>
  <slicer name="Program Name 4" xr10:uid="{56E454D3-3B3E-45C1-901B-3CF3E029BC66}" cache="Slicer_Program_Name" caption="Program Name" rowHeight="234950"/>
  <slicer name="Issue 2 - NPS 2" xr10:uid="{1272637E-D9D7-4BE4-838D-5D4F526CC30F}" cache="Slicer_Issue_2___NPS1" caption="Issue 2 - NPS" rowHeight="234950"/>
  <slicer name="Issue 2 - NPS 5" xr10:uid="{964AFA44-0A26-4A00-8AC2-1C0CDDAFECA9}" cache="Slicer_Issue_2___NPS1" caption="Issue 2 - NPS" rowHeight="234950"/>
  <slicer name="Disposition Folder Level 2 1" xr10:uid="{055B8983-ECB6-4274-A2E7-4B5C0C874350}" cache="Slicer_Disposition_Folder_Level_21" caption="Disposition Folder Level 2" rowHeight="234950"/>
  <slicer name="Disposition Folder Level 2 3" xr10:uid="{FB5D65D4-ECAD-4626-A9D6-E0CC5AD578AE}" cache="Slicer_Disposition_Folder_Level_21" caption="Disposition Folder Level 2" rowHeight="234950"/>
  <slicer name="MONTH 10" xr10:uid="{FF3A74BE-B792-46BD-9384-7E01E5248D22}" cache="Slicer_MONTH3" caption="MONTH" rowHeight="234950"/>
  <slicer name="WEEK 10" xr10:uid="{E8D8B6B7-2448-44F0-9BAB-0FCF3FEF5DAE}" cache="Slicer_WEEK3" caption="WEEK" rowHeight="234950"/>
  <slicer name="Assigned To 6" xr10:uid="{54761E9C-DE07-4892-8D8E-1F948BC7DF31}" cache="Slicer_Assigned_To2" caption="Assigned To" rowHeight="234950"/>
  <slicer name="Issue 2 - NPS 4" xr10:uid="{6F7FD6D5-1C56-41EE-8BAD-F95A60387642}" cache="Slicer_Issue_2___NPS2" caption="Issue 2 - NPS" rowHeight="234950"/>
  <slicer name="Status" xr10:uid="{4D3240D9-D6AA-4F62-BDCB-A045DC6DAD27}" cache="Slicer_Status" caption="Status" rowHeight="234950"/>
  <slicer name="MONTH 1" xr10:uid="{B03780F8-10AA-46BE-A4E7-7F3CBCFAF273}" cache="Slicer_MONTH4" caption="MONTH" rowHeight="234950"/>
  <slicer name="WEEK 1" xr10:uid="{3527CCEC-270A-429A-B762-782F96D3D013}" cache="Slicer_WEEK4" caption="WEEK"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1" xr10:uid="{762F1842-2AA5-4039-BC06-A365E48C85B6}" cache="Slicer_MONTH" caption="MONTH" rowHeight="234950"/>
  <slicer name="WEEK 11" xr10:uid="{3C726467-967F-4A1A-9EB0-BD47348D4E3C}" cache="Slicer_WEEK" caption="WEEK" rowHeight="234950"/>
  <slicer name="MONTH 12" xr10:uid="{40DD5D71-2852-4F43-943E-3EA86A52B7A5}" cache="Slicer_MONTH1" caption="MONTH" rowHeight="234950"/>
  <slicer name="WEEK 12" xr10:uid="{A0953130-7CE7-43B9-BDDC-4A67EFAB08A0}" cache="Slicer_WEEK1" caption="WEEK" rowHeight="234950"/>
  <slicer name="Assigned To 7" xr10:uid="{2AEF1815-D776-4BB1-A22E-09A07EC3154D}" cache="Slicer_Assigned_To" caption="Assigned To" rowHeight="234950"/>
  <slicer name="Disposition Folder Level 4" xr10:uid="{AB7B83CE-B65A-4F0C-B460-DC6059A31AB5}" cache="Slicer_Disposition_Folder_Level_2" caption="Disposition Folder Level 2" rowHeight="234950"/>
  <slicer name="Issue 2 - NPS 7" xr10:uid="{5436C6A1-F9F7-48CE-9500-958245E03E9C}" cache="Slicer_Issue_2___NPS" caption="Issue 2 - NPS" rowHeight="234950"/>
  <slicer name="MONTH 13" xr10:uid="{B8D1F1C1-6FC2-4A1D-B4D5-496801BAB2B7}" cache="Slicer_MONTH2" caption="MONTH" rowHeight="234950"/>
  <slicer name="MONTH 14" xr10:uid="{20EB585A-1864-49C6-82D0-486C1B84187F}" cache="Slicer_MONTH2" caption="MONTH" rowHeight="234950"/>
  <slicer name="MONTH 15" xr10:uid="{90465F9E-66FB-4808-B9A1-F6E514104730}" cache="Slicer_MONTH2" caption="MONTH" rowHeight="234950"/>
  <slicer name="WEEK 13" xr10:uid="{04DC65E8-0B0C-479B-B3F0-DAFA0D56CB76}" cache="Slicer_WEEK2" caption="WEEK" rowHeight="234950"/>
  <slicer name="WEEK 14" xr10:uid="{509DC674-2A2F-4F81-9A4F-67FA712F6F83}" cache="Slicer_WEEK2" caption="WEEK" rowHeight="234950"/>
  <slicer name="WEEK 15" xr10:uid="{DDD09F3B-3CAA-4EC9-8E63-3EE1B6AA32DF}" cache="Slicer_WEEK2" caption="WEEK" rowHeight="234950"/>
  <slicer name="Assigned To 8" xr10:uid="{1025B73A-37FC-44D5-946D-ADB8A02FB7C0}" cache="Slicer_Assigned_To1" caption="Assigned To" rowHeight="234950"/>
  <slicer name="Assigned To 9" xr10:uid="{65F8C636-CB4E-4851-9B08-F1004F5FB136}" cache="Slicer_Assigned_To1" caption="Assigned To" rowHeight="234950"/>
  <slicer name="Program Name 6" xr10:uid="{FA9D3C3D-952D-4F9D-B7A1-9E186D582F37}" cache="Slicer_Program_Name" caption="Program Name" rowHeight="234950"/>
  <slicer name="Program Name 7" xr10:uid="{C2615702-D752-4B5B-B871-EEC5012BEDAE}" cache="Slicer_Program_Name" caption="Program Name" rowHeight="234950"/>
  <slicer name="Program Name 8" xr10:uid="{72AB97B3-54E1-4E09-8728-D513E7F6F836}" cache="Slicer_Program_Name" caption="Program Name" rowHeight="234950"/>
  <slicer name="Issue 2 - NPS 8" xr10:uid="{13D645DD-2A5C-4612-A66D-505CCE342B16}" cache="Slicer_Issue_2___NPS1" caption="Issue 2 - NPS" rowHeight="234950"/>
  <slicer name="Issue 2 - NPS 9" xr10:uid="{5228F7AB-0B14-4506-9B7C-A69ECC253AD5}" cache="Slicer_Issue_2___NPS1" caption="Issue 2 - NPS" rowHeight="234950"/>
  <slicer name="Disposition Folder Level 2 5" xr10:uid="{F847F3E5-CFE0-4ABA-B771-CE5440B40189}" cache="Slicer_Disposition_Folder_Level_21" caption="Disposition Folder Level 2" rowHeight="234950"/>
  <slicer name="Disposition Folder Level 2 6" xr10:uid="{94A08DE5-B7DD-4120-8FC9-46B145165B85}" cache="Slicer_Disposition_Folder_Level_21" caption="Disposition Folder Level 2" rowHeight="234950"/>
  <slicer name="MONTH 3" xr10:uid="{B045E39D-0174-4BFC-8775-9C4E95A0FFFC}" cache="Slicer_MONTH4" caption="MONTH" rowHeight="234950"/>
  <slicer name="WEEK 3" xr10:uid="{64965309-9F22-4253-8C32-6E41AB44034D}" cache="Slicer_WEEK4" caption="WEEK"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7A625-A268-42A0-A0F7-A2E478D001C2}">
  <dimension ref="A1:EY233"/>
  <sheetViews>
    <sheetView topLeftCell="AU1" zoomScale="64" zoomScaleNormal="10" workbookViewId="0">
      <selection activeCell="AX33" sqref="AX33"/>
    </sheetView>
  </sheetViews>
  <sheetFormatPr defaultRowHeight="14.4" x14ac:dyDescent="0.3"/>
  <cols>
    <col min="1" max="1" width="12" bestFit="1" customWidth="1"/>
    <col min="2" max="2" width="11.77734375" style="1" bestFit="1" customWidth="1"/>
    <col min="3" max="3" width="11.88671875" style="12" bestFit="1" customWidth="1"/>
    <col min="4" max="4" width="16.109375" bestFit="1" customWidth="1"/>
    <col min="5" max="5" width="12.6640625" style="12" bestFit="1" customWidth="1"/>
    <col min="6" max="6" width="8.88671875" style="12"/>
    <col min="7" max="7" width="20.6640625" bestFit="1" customWidth="1"/>
    <col min="8" max="9" width="29.33203125" bestFit="1" customWidth="1"/>
    <col min="10" max="10" width="11" bestFit="1" customWidth="1"/>
    <col min="11" max="11" width="22.88671875" bestFit="1" customWidth="1"/>
    <col min="12" max="12" width="9.21875" customWidth="1"/>
    <col min="13" max="13" width="17.33203125" bestFit="1" customWidth="1"/>
    <col min="16" max="16" width="9.33203125" bestFit="1" customWidth="1"/>
    <col min="17" max="17" width="22.77734375" bestFit="1" customWidth="1"/>
    <col min="18" max="19" width="24.44140625" style="12" customWidth="1"/>
    <col min="20" max="20" width="8.88671875" customWidth="1"/>
    <col min="21" max="21" width="12" bestFit="1" customWidth="1"/>
    <col min="22" max="22" width="11.77734375" style="12" bestFit="1" customWidth="1"/>
    <col min="23" max="23" width="16.21875" style="12" bestFit="1" customWidth="1"/>
    <col min="24" max="27" width="16.21875" customWidth="1"/>
    <col min="28" max="28" width="27.88671875" bestFit="1" customWidth="1"/>
    <col min="29" max="29" width="16.109375" bestFit="1" customWidth="1"/>
    <col min="30" max="30" width="12.6640625" style="12" bestFit="1" customWidth="1"/>
    <col min="31" max="31" width="8.88671875" style="12"/>
    <col min="32" max="32" width="20.6640625" bestFit="1" customWidth="1"/>
    <col min="33" max="34" width="29.33203125" bestFit="1" customWidth="1"/>
    <col min="35" max="35" width="11" bestFit="1" customWidth="1"/>
    <col min="36" max="36" width="22.88671875" bestFit="1" customWidth="1"/>
    <col min="37" max="37" width="28.88671875" customWidth="1"/>
    <col min="38" max="38" width="17.5546875" bestFit="1" customWidth="1"/>
    <col min="39" max="39" width="46.109375" bestFit="1" customWidth="1"/>
    <col min="40" max="40" width="12.88671875" bestFit="1" customWidth="1"/>
    <col min="41" max="41" width="9.5546875" bestFit="1" customWidth="1"/>
    <col min="42" max="42" width="23.33203125" bestFit="1" customWidth="1"/>
    <col min="43" max="43" width="20" bestFit="1" customWidth="1"/>
    <col min="44" max="44" width="18.77734375" bestFit="1" customWidth="1"/>
    <col min="45" max="45" width="28.33203125" bestFit="1" customWidth="1"/>
    <col min="46" max="46" width="26.109375" bestFit="1" customWidth="1"/>
    <col min="47" max="47" width="37.33203125" bestFit="1" customWidth="1"/>
    <col min="50" max="50" width="12.88671875" bestFit="1" customWidth="1"/>
    <col min="51" max="51" width="21.21875" bestFit="1" customWidth="1"/>
    <col min="52" max="52" width="27.77734375" bestFit="1" customWidth="1"/>
    <col min="53" max="53" width="34.21875" bestFit="1" customWidth="1"/>
    <col min="54" max="54" width="13.44140625" bestFit="1" customWidth="1"/>
    <col min="55" max="56" width="15.44140625" bestFit="1" customWidth="1"/>
    <col min="57" max="57" width="20.21875" bestFit="1" customWidth="1"/>
    <col min="58" max="58" width="32.109375" bestFit="1" customWidth="1"/>
    <col min="59" max="59" width="14" bestFit="1" customWidth="1"/>
    <col min="60" max="60" width="14.33203125" bestFit="1" customWidth="1"/>
    <col min="61" max="61" width="16.33203125" bestFit="1" customWidth="1"/>
    <col min="62" max="62" width="16.44140625" bestFit="1" customWidth="1"/>
    <col min="63" max="64" width="12.44140625" bestFit="1" customWidth="1"/>
    <col min="85" max="85" width="20" bestFit="1" customWidth="1"/>
    <col min="86" max="86" width="38.6640625" bestFit="1" customWidth="1"/>
    <col min="87" max="87" width="35" bestFit="1" customWidth="1"/>
    <col min="88" max="88" width="38.6640625" bestFit="1" customWidth="1"/>
    <col min="89" max="89" width="35" bestFit="1" customWidth="1"/>
    <col min="90" max="90" width="45.6640625" bestFit="1" customWidth="1"/>
    <col min="91" max="91" width="41.88671875" bestFit="1" customWidth="1"/>
    <col min="136" max="136" width="17.109375" bestFit="1" customWidth="1"/>
    <col min="137" max="137" width="17" bestFit="1" customWidth="1"/>
    <col min="138" max="138" width="9.44140625" bestFit="1" customWidth="1"/>
    <col min="139" max="139" width="11.21875" bestFit="1" customWidth="1"/>
    <col min="140" max="140" width="24.21875" bestFit="1" customWidth="1"/>
    <col min="141" max="141" width="11.21875" bestFit="1" customWidth="1"/>
    <col min="151" max="151" width="18.88671875" bestFit="1" customWidth="1"/>
    <col min="152" max="152" width="34.77734375" bestFit="1" customWidth="1"/>
    <col min="153" max="153" width="13" bestFit="1" customWidth="1"/>
    <col min="154" max="155" width="15.77734375" bestFit="1" customWidth="1"/>
  </cols>
  <sheetData>
    <row r="1" spans="1:155" s="8" customFormat="1" ht="18" x14ac:dyDescent="0.35">
      <c r="A1" s="8" t="s">
        <v>0</v>
      </c>
      <c r="B1" s="20" t="s">
        <v>1</v>
      </c>
      <c r="C1" s="10" t="s">
        <v>2</v>
      </c>
      <c r="D1" s="8" t="s">
        <v>3</v>
      </c>
      <c r="E1" s="10" t="s">
        <v>4</v>
      </c>
      <c r="F1" s="10" t="s">
        <v>5</v>
      </c>
      <c r="G1" s="8" t="s">
        <v>6</v>
      </c>
      <c r="H1" s="8" t="s">
        <v>7</v>
      </c>
      <c r="I1" s="8" t="s">
        <v>8</v>
      </c>
      <c r="J1" s="8" t="s">
        <v>9</v>
      </c>
      <c r="K1" s="8" t="s">
        <v>10</v>
      </c>
      <c r="L1" s="8" t="s">
        <v>11</v>
      </c>
      <c r="M1" s="8" t="s">
        <v>12</v>
      </c>
      <c r="N1" s="8" t="s">
        <v>13</v>
      </c>
      <c r="O1" s="8" t="s">
        <v>14</v>
      </c>
      <c r="P1" s="8" t="s">
        <v>15</v>
      </c>
      <c r="Q1" s="8" t="s">
        <v>16</v>
      </c>
      <c r="R1" s="10"/>
      <c r="S1" s="10"/>
      <c r="U1" s="8" t="s">
        <v>0</v>
      </c>
      <c r="V1" s="10" t="s">
        <v>1</v>
      </c>
      <c r="W1" s="10" t="s">
        <v>2</v>
      </c>
      <c r="X1" s="8" t="s">
        <v>507</v>
      </c>
      <c r="Y1" s="8" t="s">
        <v>508</v>
      </c>
      <c r="Z1" s="8" t="s">
        <v>553</v>
      </c>
      <c r="AA1" s="8" t="s">
        <v>509</v>
      </c>
      <c r="AB1" s="8" t="s">
        <v>591</v>
      </c>
      <c r="AC1" s="8" t="s">
        <v>3</v>
      </c>
      <c r="AD1" s="10" t="s">
        <v>4</v>
      </c>
      <c r="AE1" s="10" t="s">
        <v>5</v>
      </c>
      <c r="AF1" s="8" t="s">
        <v>6</v>
      </c>
      <c r="AG1" s="8" t="s">
        <v>7</v>
      </c>
      <c r="AH1" s="8" t="s">
        <v>8</v>
      </c>
      <c r="AI1" s="8" t="s">
        <v>9</v>
      </c>
      <c r="AJ1" s="8" t="s">
        <v>10</v>
      </c>
      <c r="AK1" s="8" t="s">
        <v>11</v>
      </c>
      <c r="AL1" s="8" t="s">
        <v>12</v>
      </c>
      <c r="AM1" s="8" t="s">
        <v>13</v>
      </c>
      <c r="AN1" s="8" t="s">
        <v>14</v>
      </c>
      <c r="AO1" s="8" t="s">
        <v>15</v>
      </c>
      <c r="AP1" s="8" t="s">
        <v>16</v>
      </c>
      <c r="AQ1" s="8" t="s">
        <v>492</v>
      </c>
      <c r="AR1" s="8" t="s">
        <v>493</v>
      </c>
      <c r="AS1" s="8" t="s">
        <v>589</v>
      </c>
      <c r="AT1" s="16" t="s">
        <v>590</v>
      </c>
      <c r="AU1" s="8" t="s">
        <v>620</v>
      </c>
    </row>
    <row r="2" spans="1:155" x14ac:dyDescent="0.3">
      <c r="A2" s="13">
        <v>75401166414</v>
      </c>
      <c r="B2" s="34">
        <v>45889</v>
      </c>
      <c r="C2" s="14">
        <v>0.52087962962962964</v>
      </c>
      <c r="D2" s="13" t="s">
        <v>95</v>
      </c>
      <c r="E2" s="14">
        <v>45893</v>
      </c>
      <c r="F2" s="14">
        <v>0.65353009259259254</v>
      </c>
      <c r="G2" s="13" t="s">
        <v>18</v>
      </c>
      <c r="H2" s="13" t="s">
        <v>18</v>
      </c>
      <c r="I2" s="13" t="s">
        <v>49</v>
      </c>
      <c r="J2" s="13">
        <v>9549834042</v>
      </c>
      <c r="K2" s="13" t="s">
        <v>325</v>
      </c>
      <c r="L2" s="13" t="s">
        <v>187</v>
      </c>
      <c r="M2" s="13" t="s">
        <v>22</v>
      </c>
      <c r="N2" s="13" t="s">
        <v>52</v>
      </c>
      <c r="O2" s="13">
        <v>7</v>
      </c>
      <c r="P2" s="13" t="s">
        <v>24</v>
      </c>
      <c r="Q2" s="13" t="s">
        <v>25</v>
      </c>
      <c r="U2" s="5">
        <v>75977909930</v>
      </c>
      <c r="V2" s="11">
        <v>45870</v>
      </c>
      <c r="W2" s="11">
        <v>0.86636574074074069</v>
      </c>
      <c r="X2" s="5">
        <f t="shared" ref="X2:X65" si="0">MONTH(V2)</f>
        <v>8</v>
      </c>
      <c r="Y2" s="5">
        <f>WEEKNUM(V2)</f>
        <v>31</v>
      </c>
      <c r="Z2" s="5">
        <f>DAY(V2)</f>
        <v>1</v>
      </c>
      <c r="AA2" s="5">
        <f>WEEKDAY(V2)</f>
        <v>6</v>
      </c>
      <c r="AB2" s="5" t="str">
        <f>INT(W2*24)&amp;" - "&amp;INT(W2*24)+1&amp;" hr"</f>
        <v>20 - 21 hr</v>
      </c>
      <c r="AC2" s="5" t="s">
        <v>58</v>
      </c>
      <c r="AD2" s="11"/>
      <c r="AE2" s="11"/>
      <c r="AF2" s="5" t="s">
        <v>18</v>
      </c>
      <c r="AG2" s="5" t="s">
        <v>18</v>
      </c>
      <c r="AH2" s="5" t="s">
        <v>36</v>
      </c>
      <c r="AI2" s="5">
        <v>7947206476</v>
      </c>
      <c r="AJ2" s="5" t="s">
        <v>59</v>
      </c>
      <c r="AK2" s="5" t="s">
        <v>54</v>
      </c>
      <c r="AL2" s="5" t="s">
        <v>29</v>
      </c>
      <c r="AM2" s="5" t="s">
        <v>42</v>
      </c>
      <c r="AN2" s="5">
        <v>8</v>
      </c>
      <c r="AO2" s="5" t="s">
        <v>34</v>
      </c>
      <c r="AP2" s="5" t="s">
        <v>60</v>
      </c>
      <c r="AQ2" s="5" t="str">
        <f t="shared" ref="AQ2:AQ65" si="1">IF(AO2="Pending","Issue_pending",
    IF(AO2="Complete",
        IF(OR(V2="",W2="",AD2="",AE2=""),"Issue_solved_date_absent",
           ((AD2+AE2)-(V2+W2))*24
        ),
    ""))</f>
        <v>Issue_pending</v>
      </c>
      <c r="AR2" s="5" t="str">
        <f t="shared" ref="AR2:AR65" si="2">IF(AQ2="Issue_pending","Issue_pending",IF(AQ2="Issue_solved_date_absent","Issue_solved_date_absent",ROUND(AQ2/24,2)))</f>
        <v>Issue_pending</v>
      </c>
      <c r="AS2" s="5" t="str">
        <f t="shared" ref="AS2:AS65" si="3">IF(AR2="Issue_pending","Issue_pending",
    IF(AR2="Issue_solved_date_absent","Issue_solved_date_absent",
        IF(AR2&lt;=4,"1-4 days",
        IF(AR2&lt;=8,"5-8 days",
        "9-12 days"))))</f>
        <v>Issue_pending</v>
      </c>
      <c r="AT2" s="5">
        <f ca="1">IF(AO2="Pending",TODAY()-V2,"STATUS-COMPLETE")</f>
        <v>60</v>
      </c>
      <c r="AU2" s="5" t="str">
        <f ca="1">IF(ISNUMBER(AT2),
     IF(AT2&lt;=7,"0-7 days",IF(AT2&lt;=20,"8-20 days","&gt;20 days")),
     AT2)</f>
        <v>&gt;20 days</v>
      </c>
      <c r="AZ2" s="2" t="s">
        <v>394</v>
      </c>
      <c r="BA2" s="2" t="s">
        <v>393</v>
      </c>
    </row>
    <row r="3" spans="1:155" x14ac:dyDescent="0.3">
      <c r="A3" s="5">
        <v>75407333788</v>
      </c>
      <c r="B3" s="6">
        <v>45876</v>
      </c>
      <c r="C3" s="11">
        <v>0.55850694444444449</v>
      </c>
      <c r="D3" s="5" t="s">
        <v>48</v>
      </c>
      <c r="E3" s="11">
        <v>45879</v>
      </c>
      <c r="F3" s="11">
        <v>0.68123842592592587</v>
      </c>
      <c r="G3" s="5" t="s">
        <v>18</v>
      </c>
      <c r="H3" s="5" t="s">
        <v>18</v>
      </c>
      <c r="I3" s="5" t="s">
        <v>49</v>
      </c>
      <c r="J3" s="5">
        <v>8146731886</v>
      </c>
      <c r="K3" s="5" t="s">
        <v>249</v>
      </c>
      <c r="L3" s="5" t="s">
        <v>85</v>
      </c>
      <c r="M3" s="5" t="s">
        <v>82</v>
      </c>
      <c r="N3" s="5" t="s">
        <v>86</v>
      </c>
      <c r="O3" s="5">
        <v>1</v>
      </c>
      <c r="P3" s="5" t="s">
        <v>24</v>
      </c>
      <c r="Q3" s="5" t="s">
        <v>25</v>
      </c>
      <c r="U3" s="5">
        <v>75809123009</v>
      </c>
      <c r="V3" s="11">
        <v>45870</v>
      </c>
      <c r="W3" s="11">
        <v>0.80770833333333336</v>
      </c>
      <c r="X3" s="5">
        <f t="shared" si="0"/>
        <v>8</v>
      </c>
      <c r="Y3" s="5">
        <f t="shared" ref="Y3:Y66" si="4">WEEKNUM(V3)</f>
        <v>31</v>
      </c>
      <c r="Z3" s="5">
        <f t="shared" ref="Z3:Z66" si="5">DAY(V3)</f>
        <v>1</v>
      </c>
      <c r="AA3" s="5">
        <f t="shared" ref="AA3:AA66" si="6">WEEKDAY(V3)</f>
        <v>6</v>
      </c>
      <c r="AB3" s="5" t="str">
        <f t="shared" ref="AB3:AB66" si="7">INT(W3*24)&amp;" - "&amp;INT(W3*24)+1&amp;" hr"</f>
        <v>19 - 20 hr</v>
      </c>
      <c r="AC3" s="5" t="s">
        <v>26</v>
      </c>
      <c r="AD3" s="11">
        <v>45872</v>
      </c>
      <c r="AE3" s="11">
        <v>0.68313657407407402</v>
      </c>
      <c r="AF3" s="5" t="s">
        <v>18</v>
      </c>
      <c r="AG3" s="5" t="s">
        <v>18</v>
      </c>
      <c r="AH3" s="5" t="s">
        <v>27</v>
      </c>
      <c r="AI3" s="5">
        <v>9024977737</v>
      </c>
      <c r="AJ3" s="5" t="s">
        <v>133</v>
      </c>
      <c r="AK3" s="5" t="s">
        <v>121</v>
      </c>
      <c r="AL3" s="5" t="s">
        <v>33</v>
      </c>
      <c r="AM3" s="5" t="s">
        <v>76</v>
      </c>
      <c r="AN3" s="5">
        <v>1</v>
      </c>
      <c r="AO3" s="5" t="s">
        <v>24</v>
      </c>
      <c r="AP3" s="5" t="s">
        <v>25</v>
      </c>
      <c r="AQ3" s="5">
        <f t="shared" si="1"/>
        <v>45.01027777773561</v>
      </c>
      <c r="AR3" s="5">
        <f t="shared" si="2"/>
        <v>1.88</v>
      </c>
      <c r="AS3" s="5" t="str">
        <f t="shared" si="3"/>
        <v>1-4 days</v>
      </c>
      <c r="AT3" s="5" t="str">
        <f t="shared" ref="AT3:AT66" ca="1" si="8">IF(AO3="Pending",TODAY()-V3,"STATUS-COMPLETE")</f>
        <v>STATUS-COMPLETE</v>
      </c>
      <c r="AU3" s="5" t="str">
        <f t="shared" ref="AU3:AU66" ca="1" si="9">IF(ISNUMBER(AT3),
     IF(AT3&lt;=7,"0-7 days",IF(AT3&lt;=20,"8-20 days","&gt;20 days")),
     AT3)</f>
        <v>STATUS-COMPLETE</v>
      </c>
      <c r="AZ3" s="2" t="s">
        <v>391</v>
      </c>
      <c r="BA3" t="s">
        <v>24</v>
      </c>
      <c r="BB3" t="s">
        <v>34</v>
      </c>
      <c r="BC3" t="s">
        <v>392</v>
      </c>
      <c r="CG3" t="s">
        <v>666</v>
      </c>
      <c r="CH3" t="s">
        <v>667</v>
      </c>
    </row>
    <row r="4" spans="1:155" x14ac:dyDescent="0.3">
      <c r="A4" s="5">
        <v>75410290140</v>
      </c>
      <c r="B4" s="6">
        <v>45888</v>
      </c>
      <c r="C4" s="11">
        <v>0.67236111111111108</v>
      </c>
      <c r="D4" s="5" t="s">
        <v>55</v>
      </c>
      <c r="E4" s="11">
        <v>45894</v>
      </c>
      <c r="F4" s="11">
        <v>0.69378472222222221</v>
      </c>
      <c r="G4" s="5" t="s">
        <v>18</v>
      </c>
      <c r="H4" s="5" t="s">
        <v>18</v>
      </c>
      <c r="I4" s="5" t="s">
        <v>27</v>
      </c>
      <c r="J4" s="5">
        <v>9411976659</v>
      </c>
      <c r="K4" s="5" t="s">
        <v>310</v>
      </c>
      <c r="L4" s="5" t="s">
        <v>220</v>
      </c>
      <c r="M4" s="5" t="s">
        <v>33</v>
      </c>
      <c r="N4" s="5" t="s">
        <v>203</v>
      </c>
      <c r="O4" s="5">
        <v>3</v>
      </c>
      <c r="P4" s="5" t="s">
        <v>24</v>
      </c>
      <c r="Q4" s="5" t="s">
        <v>25</v>
      </c>
      <c r="U4" s="5">
        <v>75899714064</v>
      </c>
      <c r="V4" s="11">
        <v>45870</v>
      </c>
      <c r="W4" s="11">
        <v>0.54890046296296291</v>
      </c>
      <c r="X4" s="5">
        <f t="shared" si="0"/>
        <v>8</v>
      </c>
      <c r="Y4" s="5">
        <f t="shared" si="4"/>
        <v>31</v>
      </c>
      <c r="Z4" s="5">
        <f t="shared" si="5"/>
        <v>1</v>
      </c>
      <c r="AA4" s="5">
        <f t="shared" si="6"/>
        <v>6</v>
      </c>
      <c r="AB4" s="5" t="str">
        <f t="shared" si="7"/>
        <v>13 - 14 hr</v>
      </c>
      <c r="AC4" s="5" t="s">
        <v>46</v>
      </c>
      <c r="AD4" s="11"/>
      <c r="AE4" s="11"/>
      <c r="AF4" s="5" t="s">
        <v>18</v>
      </c>
      <c r="AG4" s="5" t="s">
        <v>18</v>
      </c>
      <c r="AH4" s="5" t="s">
        <v>49</v>
      </c>
      <c r="AI4" s="5">
        <v>8335640103</v>
      </c>
      <c r="AJ4" s="5" t="s">
        <v>250</v>
      </c>
      <c r="AK4" s="5" t="s">
        <v>251</v>
      </c>
      <c r="AL4" s="5" t="s">
        <v>22</v>
      </c>
      <c r="AM4" s="5" t="s">
        <v>52</v>
      </c>
      <c r="AN4" s="5">
        <v>2</v>
      </c>
      <c r="AO4" s="5" t="s">
        <v>24</v>
      </c>
      <c r="AP4" s="5" t="s">
        <v>25</v>
      </c>
      <c r="AQ4" s="5" t="str">
        <f t="shared" si="1"/>
        <v>Issue_solved_date_absent</v>
      </c>
      <c r="AR4" s="5" t="str">
        <f t="shared" si="2"/>
        <v>Issue_solved_date_absent</v>
      </c>
      <c r="AS4" s="5" t="str">
        <f t="shared" si="3"/>
        <v>Issue_solved_date_absent</v>
      </c>
      <c r="AT4" s="5" t="str">
        <f t="shared" ca="1" si="8"/>
        <v>STATUS-COMPLETE</v>
      </c>
      <c r="AU4" s="5" t="str">
        <f t="shared" ca="1" si="9"/>
        <v>STATUS-COMPLETE</v>
      </c>
      <c r="AZ4" s="3" t="s">
        <v>27</v>
      </c>
      <c r="BA4" s="64">
        <v>62</v>
      </c>
      <c r="BB4" s="64">
        <v>18</v>
      </c>
      <c r="BC4" s="64">
        <v>80</v>
      </c>
      <c r="CG4" t="s">
        <v>668</v>
      </c>
      <c r="EU4" s="2" t="s">
        <v>394</v>
      </c>
      <c r="EV4" s="2" t="s">
        <v>393</v>
      </c>
    </row>
    <row r="5" spans="1:155" x14ac:dyDescent="0.3">
      <c r="A5" s="5">
        <v>75413585139</v>
      </c>
      <c r="B5" s="6">
        <v>45892</v>
      </c>
      <c r="C5" s="11">
        <v>0.66146990740740741</v>
      </c>
      <c r="D5" s="5" t="s">
        <v>17</v>
      </c>
      <c r="E5" s="11">
        <v>45903</v>
      </c>
      <c r="F5" s="11">
        <v>0.58648148148148149</v>
      </c>
      <c r="G5" s="5" t="s">
        <v>18</v>
      </c>
      <c r="H5" s="5" t="s">
        <v>18</v>
      </c>
      <c r="I5" s="5" t="s">
        <v>27</v>
      </c>
      <c r="J5" s="5">
        <v>7437662764</v>
      </c>
      <c r="K5" s="5" t="s">
        <v>74</v>
      </c>
      <c r="L5" s="5" t="s">
        <v>75</v>
      </c>
      <c r="M5" s="5" t="s">
        <v>33</v>
      </c>
      <c r="N5" s="5" t="s">
        <v>76</v>
      </c>
      <c r="O5" s="5">
        <v>5</v>
      </c>
      <c r="P5" s="5" t="s">
        <v>24</v>
      </c>
      <c r="Q5" s="5" t="s">
        <v>25</v>
      </c>
      <c r="U5" s="5">
        <v>75434770706</v>
      </c>
      <c r="V5" s="11">
        <v>45870</v>
      </c>
      <c r="W5" s="11">
        <v>0.48495370370370372</v>
      </c>
      <c r="X5" s="5">
        <f t="shared" si="0"/>
        <v>8</v>
      </c>
      <c r="Y5" s="5">
        <f t="shared" si="4"/>
        <v>31</v>
      </c>
      <c r="Z5" s="5">
        <f t="shared" si="5"/>
        <v>1</v>
      </c>
      <c r="AA5" s="5">
        <f t="shared" si="6"/>
        <v>6</v>
      </c>
      <c r="AB5" s="5" t="str">
        <f t="shared" si="7"/>
        <v>11 - 12 hr</v>
      </c>
      <c r="AC5" s="5" t="s">
        <v>58</v>
      </c>
      <c r="AD5" s="11"/>
      <c r="AE5" s="11"/>
      <c r="AF5" s="5" t="s">
        <v>18</v>
      </c>
      <c r="AG5" s="5" t="s">
        <v>18</v>
      </c>
      <c r="AH5" s="5" t="s">
        <v>49</v>
      </c>
      <c r="AI5" s="5">
        <v>7948737873</v>
      </c>
      <c r="AJ5" s="5" t="s">
        <v>367</v>
      </c>
      <c r="AK5" s="5" t="s">
        <v>368</v>
      </c>
      <c r="AL5" s="5" t="s">
        <v>29</v>
      </c>
      <c r="AM5" s="5" t="s">
        <v>102</v>
      </c>
      <c r="AN5" s="5">
        <v>4</v>
      </c>
      <c r="AO5" s="5" t="s">
        <v>34</v>
      </c>
      <c r="AP5" s="5" t="s">
        <v>35</v>
      </c>
      <c r="AQ5" s="5" t="str">
        <f t="shared" si="1"/>
        <v>Issue_pending</v>
      </c>
      <c r="AR5" s="5" t="str">
        <f t="shared" si="2"/>
        <v>Issue_pending</v>
      </c>
      <c r="AS5" s="5" t="str">
        <f t="shared" si="3"/>
        <v>Issue_pending</v>
      </c>
      <c r="AT5" s="5">
        <f t="shared" ca="1" si="8"/>
        <v>60</v>
      </c>
      <c r="AU5" s="5" t="str">
        <f t="shared" ca="1" si="9"/>
        <v>&gt;20 days</v>
      </c>
      <c r="AZ5" s="3" t="s">
        <v>49</v>
      </c>
      <c r="BA5" s="64">
        <v>57</v>
      </c>
      <c r="BB5" s="64">
        <v>21</v>
      </c>
      <c r="BC5" s="64">
        <v>78</v>
      </c>
      <c r="CG5" t="s">
        <v>669</v>
      </c>
      <c r="CH5" t="s">
        <v>670</v>
      </c>
      <c r="CI5" t="s">
        <v>671</v>
      </c>
      <c r="EU5" s="2" t="s">
        <v>391</v>
      </c>
      <c r="EV5" t="s">
        <v>24</v>
      </c>
      <c r="EW5" t="s">
        <v>34</v>
      </c>
      <c r="EX5" t="s">
        <v>392</v>
      </c>
    </row>
    <row r="6" spans="1:155" x14ac:dyDescent="0.3">
      <c r="A6" s="5">
        <v>75414810579</v>
      </c>
      <c r="B6" s="6">
        <v>45881</v>
      </c>
      <c r="C6" s="11">
        <v>0.55071759259259256</v>
      </c>
      <c r="D6" s="5" t="s">
        <v>43</v>
      </c>
      <c r="E6" s="11"/>
      <c r="F6" s="11"/>
      <c r="G6" s="5" t="s">
        <v>18</v>
      </c>
      <c r="H6" s="5" t="s">
        <v>18</v>
      </c>
      <c r="I6" s="5" t="s">
        <v>27</v>
      </c>
      <c r="J6" s="5">
        <v>8709289717</v>
      </c>
      <c r="K6" s="5" t="s">
        <v>332</v>
      </c>
      <c r="L6" s="5" t="s">
        <v>319</v>
      </c>
      <c r="M6" s="5" t="s">
        <v>22</v>
      </c>
      <c r="N6" s="5" t="s">
        <v>23</v>
      </c>
      <c r="O6" s="5">
        <v>2</v>
      </c>
      <c r="P6" s="5" t="s">
        <v>34</v>
      </c>
      <c r="Q6" s="5" t="s">
        <v>67</v>
      </c>
      <c r="U6" s="5">
        <v>75427633490</v>
      </c>
      <c r="V6" s="11">
        <v>45870</v>
      </c>
      <c r="W6" s="11">
        <v>0.50740740740740742</v>
      </c>
      <c r="X6" s="5">
        <f t="shared" si="0"/>
        <v>8</v>
      </c>
      <c r="Y6" s="5">
        <f t="shared" si="4"/>
        <v>31</v>
      </c>
      <c r="Z6" s="5">
        <f t="shared" si="5"/>
        <v>1</v>
      </c>
      <c r="AA6" s="5">
        <f t="shared" si="6"/>
        <v>6</v>
      </c>
      <c r="AB6" s="5" t="str">
        <f t="shared" si="7"/>
        <v>12 - 13 hr</v>
      </c>
      <c r="AC6" s="5" t="s">
        <v>30</v>
      </c>
      <c r="AD6" s="11">
        <v>45875</v>
      </c>
      <c r="AE6" s="11">
        <v>0.77097222222222217</v>
      </c>
      <c r="AF6" s="5" t="s">
        <v>18</v>
      </c>
      <c r="AG6" s="5" t="s">
        <v>18</v>
      </c>
      <c r="AH6" s="5" t="s">
        <v>49</v>
      </c>
      <c r="AI6" s="5">
        <v>7351912852</v>
      </c>
      <c r="AJ6" s="5" t="s">
        <v>375</v>
      </c>
      <c r="AK6" s="5" t="s">
        <v>312</v>
      </c>
      <c r="AL6" s="5" t="s">
        <v>22</v>
      </c>
      <c r="AM6" s="5" t="s">
        <v>86</v>
      </c>
      <c r="AN6" s="5">
        <v>7</v>
      </c>
      <c r="AO6" s="5" t="s">
        <v>24</v>
      </c>
      <c r="AP6" s="5" t="s">
        <v>25</v>
      </c>
      <c r="AQ6" s="5">
        <f t="shared" si="1"/>
        <v>126.32555555552244</v>
      </c>
      <c r="AR6" s="5">
        <f t="shared" si="2"/>
        <v>5.26</v>
      </c>
      <c r="AS6" s="5" t="str">
        <f t="shared" si="3"/>
        <v>5-8 days</v>
      </c>
      <c r="AT6" s="5" t="str">
        <f t="shared" ca="1" si="8"/>
        <v>STATUS-COMPLETE</v>
      </c>
      <c r="AU6" s="5" t="str">
        <f t="shared" ca="1" si="9"/>
        <v>STATUS-COMPLETE</v>
      </c>
      <c r="AZ6" s="3" t="s">
        <v>36</v>
      </c>
      <c r="BA6" s="64">
        <v>27</v>
      </c>
      <c r="BB6" s="64">
        <v>10</v>
      </c>
      <c r="BC6" s="64">
        <v>37</v>
      </c>
      <c r="CG6" t="s">
        <v>623</v>
      </c>
      <c r="CH6" t="s">
        <v>672</v>
      </c>
      <c r="CI6" t="s">
        <v>670</v>
      </c>
      <c r="CK6" t="s">
        <v>621</v>
      </c>
      <c r="EF6" s="2" t="s">
        <v>391</v>
      </c>
      <c r="EG6" t="s">
        <v>394</v>
      </c>
      <c r="EU6" s="3" t="s">
        <v>29</v>
      </c>
      <c r="EV6" s="64">
        <v>45</v>
      </c>
      <c r="EW6" s="64">
        <v>18</v>
      </c>
      <c r="EX6" s="64">
        <v>63</v>
      </c>
    </row>
    <row r="7" spans="1:155" x14ac:dyDescent="0.3">
      <c r="A7" s="5">
        <v>75416799547</v>
      </c>
      <c r="B7" s="6">
        <v>45892</v>
      </c>
      <c r="C7" s="11">
        <v>0.50907407407407412</v>
      </c>
      <c r="D7" s="5" t="s">
        <v>17</v>
      </c>
      <c r="E7" s="11">
        <v>45896</v>
      </c>
      <c r="F7" s="11">
        <v>0.41864583333333333</v>
      </c>
      <c r="G7" s="5" t="s">
        <v>18</v>
      </c>
      <c r="H7" s="5" t="s">
        <v>18</v>
      </c>
      <c r="I7" s="5" t="s">
        <v>49</v>
      </c>
      <c r="J7" s="5">
        <v>9550970716</v>
      </c>
      <c r="K7" s="5" t="s">
        <v>260</v>
      </c>
      <c r="L7" s="5" t="s">
        <v>261</v>
      </c>
      <c r="M7" s="5" t="s">
        <v>29</v>
      </c>
      <c r="N7" s="5" t="s">
        <v>86</v>
      </c>
      <c r="O7" s="5">
        <v>1</v>
      </c>
      <c r="P7" s="5" t="s">
        <v>24</v>
      </c>
      <c r="Q7" s="5" t="s">
        <v>25</v>
      </c>
      <c r="U7" s="5">
        <v>75537039296</v>
      </c>
      <c r="V7" s="11">
        <v>45871</v>
      </c>
      <c r="W7" s="11">
        <v>0.77362268518518518</v>
      </c>
      <c r="X7" s="5">
        <f t="shared" si="0"/>
        <v>8</v>
      </c>
      <c r="Y7" s="5">
        <f t="shared" si="4"/>
        <v>31</v>
      </c>
      <c r="Z7" s="5">
        <f t="shared" si="5"/>
        <v>2</v>
      </c>
      <c r="AA7" s="5">
        <f t="shared" si="6"/>
        <v>7</v>
      </c>
      <c r="AB7" s="5" t="str">
        <f t="shared" si="7"/>
        <v>18 - 19 hr</v>
      </c>
      <c r="AC7" s="5" t="s">
        <v>55</v>
      </c>
      <c r="AD7" s="11">
        <v>45882</v>
      </c>
      <c r="AE7" s="11">
        <v>0.65706018518518516</v>
      </c>
      <c r="AF7" s="5" t="s">
        <v>18</v>
      </c>
      <c r="AG7" s="5" t="s">
        <v>18</v>
      </c>
      <c r="AH7" s="5" t="s">
        <v>19</v>
      </c>
      <c r="AI7" s="5">
        <v>9542160120</v>
      </c>
      <c r="AJ7" s="5" t="s">
        <v>61</v>
      </c>
      <c r="AK7" s="5" t="s">
        <v>62</v>
      </c>
      <c r="AL7" s="5" t="s">
        <v>29</v>
      </c>
      <c r="AM7" s="5" t="s">
        <v>63</v>
      </c>
      <c r="AN7" s="5">
        <v>1</v>
      </c>
      <c r="AO7" s="5" t="s">
        <v>24</v>
      </c>
      <c r="AP7" s="5" t="s">
        <v>25</v>
      </c>
      <c r="AQ7" s="5">
        <f t="shared" si="1"/>
        <v>261.20250000001397</v>
      </c>
      <c r="AR7" s="5">
        <f t="shared" si="2"/>
        <v>10.88</v>
      </c>
      <c r="AS7" s="5" t="str">
        <f t="shared" si="3"/>
        <v>9-12 days</v>
      </c>
      <c r="AT7" s="5" t="str">
        <f t="shared" ca="1" si="8"/>
        <v>STATUS-COMPLETE</v>
      </c>
      <c r="AU7" s="5" t="str">
        <f t="shared" ca="1" si="9"/>
        <v>STATUS-COMPLETE</v>
      </c>
      <c r="AZ7" s="3" t="s">
        <v>19</v>
      </c>
      <c r="BA7" s="64">
        <v>20</v>
      </c>
      <c r="BB7" s="64">
        <v>10</v>
      </c>
      <c r="BC7" s="64">
        <v>30</v>
      </c>
      <c r="CG7" t="s">
        <v>625</v>
      </c>
      <c r="CH7" t="s">
        <v>672</v>
      </c>
      <c r="CI7" t="s">
        <v>670</v>
      </c>
      <c r="CK7" t="s">
        <v>675</v>
      </c>
      <c r="EF7" s="3" t="s">
        <v>24</v>
      </c>
      <c r="EG7" s="64">
        <v>166</v>
      </c>
      <c r="EU7" s="3" t="s">
        <v>22</v>
      </c>
      <c r="EV7" s="64">
        <v>46</v>
      </c>
      <c r="EW7" s="64">
        <v>17</v>
      </c>
      <c r="EX7" s="64">
        <v>63</v>
      </c>
    </row>
    <row r="8" spans="1:155" x14ac:dyDescent="0.3">
      <c r="A8" s="5">
        <v>75416891857</v>
      </c>
      <c r="B8" s="6">
        <v>45912</v>
      </c>
      <c r="C8" s="11">
        <v>0.39901620370370372</v>
      </c>
      <c r="D8" s="5" t="s">
        <v>55</v>
      </c>
      <c r="E8" s="11"/>
      <c r="F8" s="11"/>
      <c r="G8" s="5" t="s">
        <v>18</v>
      </c>
      <c r="H8" s="5" t="s">
        <v>18</v>
      </c>
      <c r="I8" s="5" t="s">
        <v>19</v>
      </c>
      <c r="J8" s="5">
        <v>7050899550</v>
      </c>
      <c r="K8" s="5" t="s">
        <v>277</v>
      </c>
      <c r="L8" s="5" t="s">
        <v>91</v>
      </c>
      <c r="M8" s="5" t="s">
        <v>29</v>
      </c>
      <c r="N8" s="5" t="s">
        <v>63</v>
      </c>
      <c r="O8" s="5">
        <v>7</v>
      </c>
      <c r="P8" s="5" t="s">
        <v>34</v>
      </c>
      <c r="Q8" s="5" t="s">
        <v>60</v>
      </c>
      <c r="U8" s="5">
        <v>75612954978</v>
      </c>
      <c r="V8" s="11">
        <v>45871</v>
      </c>
      <c r="W8" s="11">
        <v>0.44287037037037036</v>
      </c>
      <c r="X8" s="5">
        <f t="shared" si="0"/>
        <v>8</v>
      </c>
      <c r="Y8" s="5">
        <f t="shared" si="4"/>
        <v>31</v>
      </c>
      <c r="Z8" s="5">
        <f t="shared" si="5"/>
        <v>2</v>
      </c>
      <c r="AA8" s="5">
        <f t="shared" si="6"/>
        <v>7</v>
      </c>
      <c r="AB8" s="5" t="str">
        <f t="shared" si="7"/>
        <v>10 - 11 hr</v>
      </c>
      <c r="AC8" s="5" t="s">
        <v>26</v>
      </c>
      <c r="AD8" s="11"/>
      <c r="AE8" s="11"/>
      <c r="AF8" s="5" t="s">
        <v>18</v>
      </c>
      <c r="AG8" s="5" t="s">
        <v>18</v>
      </c>
      <c r="AH8" s="5" t="s">
        <v>36</v>
      </c>
      <c r="AI8" s="5">
        <v>7437662764</v>
      </c>
      <c r="AJ8" s="5" t="s">
        <v>73</v>
      </c>
      <c r="AK8" s="5" t="s">
        <v>54</v>
      </c>
      <c r="AL8" s="5" t="s">
        <v>29</v>
      </c>
      <c r="AM8" s="5" t="s">
        <v>42</v>
      </c>
      <c r="AN8" s="5">
        <v>8</v>
      </c>
      <c r="AO8" s="5" t="s">
        <v>34</v>
      </c>
      <c r="AP8" s="5" t="s">
        <v>35</v>
      </c>
      <c r="AQ8" s="5" t="str">
        <f t="shared" si="1"/>
        <v>Issue_pending</v>
      </c>
      <c r="AR8" s="5" t="str">
        <f t="shared" si="2"/>
        <v>Issue_pending</v>
      </c>
      <c r="AS8" s="5" t="str">
        <f t="shared" si="3"/>
        <v>Issue_pending</v>
      </c>
      <c r="AT8" s="5">
        <f t="shared" ca="1" si="8"/>
        <v>59</v>
      </c>
      <c r="AU8" s="5" t="str">
        <f t="shared" ca="1" si="9"/>
        <v>&gt;20 days</v>
      </c>
      <c r="AZ8" s="3" t="s">
        <v>392</v>
      </c>
      <c r="BA8" s="64">
        <v>166</v>
      </c>
      <c r="BB8" s="64">
        <v>59</v>
      </c>
      <c r="BC8" s="64">
        <v>225</v>
      </c>
      <c r="CG8" t="s">
        <v>673</v>
      </c>
      <c r="CH8" t="s">
        <v>674</v>
      </c>
      <c r="CI8" t="s">
        <v>670</v>
      </c>
      <c r="EF8" s="3" t="s">
        <v>34</v>
      </c>
      <c r="EG8" s="64">
        <v>59</v>
      </c>
      <c r="EU8" s="3" t="s">
        <v>33</v>
      </c>
      <c r="EV8" s="64">
        <v>37</v>
      </c>
      <c r="EW8" s="64">
        <v>15</v>
      </c>
      <c r="EX8" s="64">
        <v>52</v>
      </c>
    </row>
    <row r="9" spans="1:155" x14ac:dyDescent="0.3">
      <c r="A9" s="5">
        <v>75427633490</v>
      </c>
      <c r="B9" s="6">
        <v>45870</v>
      </c>
      <c r="C9" s="11">
        <v>0.50740740740740742</v>
      </c>
      <c r="D9" s="5" t="s">
        <v>30</v>
      </c>
      <c r="E9" s="11">
        <v>45875</v>
      </c>
      <c r="F9" s="11">
        <v>0.77097222222222217</v>
      </c>
      <c r="G9" s="5" t="s">
        <v>18</v>
      </c>
      <c r="H9" s="5" t="s">
        <v>18</v>
      </c>
      <c r="I9" s="5" t="s">
        <v>49</v>
      </c>
      <c r="J9" s="5">
        <v>7351912852</v>
      </c>
      <c r="K9" s="5" t="s">
        <v>375</v>
      </c>
      <c r="L9" s="5" t="s">
        <v>312</v>
      </c>
      <c r="M9" s="5" t="s">
        <v>22</v>
      </c>
      <c r="N9" s="5" t="s">
        <v>86</v>
      </c>
      <c r="O9" s="5">
        <v>7</v>
      </c>
      <c r="P9" s="5" t="s">
        <v>24</v>
      </c>
      <c r="Q9" s="5" t="s">
        <v>25</v>
      </c>
      <c r="U9" s="5">
        <v>75428612164</v>
      </c>
      <c r="V9" s="11">
        <v>45871</v>
      </c>
      <c r="W9" s="11">
        <v>0.77101851851851855</v>
      </c>
      <c r="X9" s="5">
        <f t="shared" si="0"/>
        <v>8</v>
      </c>
      <c r="Y9" s="5">
        <f t="shared" si="4"/>
        <v>31</v>
      </c>
      <c r="Z9" s="5">
        <f t="shared" si="5"/>
        <v>2</v>
      </c>
      <c r="AA9" s="5">
        <f t="shared" si="6"/>
        <v>7</v>
      </c>
      <c r="AB9" s="5" t="str">
        <f t="shared" si="7"/>
        <v>18 - 19 hr</v>
      </c>
      <c r="AC9" s="5" t="s">
        <v>58</v>
      </c>
      <c r="AD9" s="11">
        <v>45882</v>
      </c>
      <c r="AE9" s="11">
        <v>0.43515046296296295</v>
      </c>
      <c r="AF9" s="5" t="s">
        <v>18</v>
      </c>
      <c r="AG9" s="5" t="s">
        <v>18</v>
      </c>
      <c r="AH9" s="5" t="s">
        <v>49</v>
      </c>
      <c r="AI9" s="5">
        <v>9480920839</v>
      </c>
      <c r="AJ9" s="5" t="s">
        <v>231</v>
      </c>
      <c r="AK9" s="5" t="s">
        <v>51</v>
      </c>
      <c r="AL9" s="5" t="s">
        <v>33</v>
      </c>
      <c r="AM9" s="5" t="s">
        <v>52</v>
      </c>
      <c r="AN9" s="5">
        <v>2</v>
      </c>
      <c r="AO9" s="5" t="s">
        <v>24</v>
      </c>
      <c r="AP9" s="5" t="s">
        <v>25</v>
      </c>
      <c r="AQ9" s="5">
        <f t="shared" si="1"/>
        <v>255.9391666665324</v>
      </c>
      <c r="AR9" s="5">
        <f t="shared" si="2"/>
        <v>10.66</v>
      </c>
      <c r="AS9" s="5" t="str">
        <f t="shared" si="3"/>
        <v>9-12 days</v>
      </c>
      <c r="AT9" s="5" t="str">
        <f t="shared" ca="1" si="8"/>
        <v>STATUS-COMPLETE</v>
      </c>
      <c r="AU9" s="5" t="str">
        <f t="shared" ca="1" si="9"/>
        <v>STATUS-COMPLETE</v>
      </c>
      <c r="CG9" t="s">
        <v>676</v>
      </c>
      <c r="EF9" s="3" t="s">
        <v>392</v>
      </c>
      <c r="EG9" s="64">
        <v>225</v>
      </c>
      <c r="EU9" s="3" t="s">
        <v>82</v>
      </c>
      <c r="EV9" s="64">
        <v>38</v>
      </c>
      <c r="EW9" s="64">
        <v>9</v>
      </c>
      <c r="EX9" s="64">
        <v>47</v>
      </c>
    </row>
    <row r="10" spans="1:155" x14ac:dyDescent="0.3">
      <c r="A10" s="5">
        <v>75428222260</v>
      </c>
      <c r="B10" s="6">
        <v>45882</v>
      </c>
      <c r="C10" s="11">
        <v>0.60805555555555557</v>
      </c>
      <c r="D10" s="5" t="s">
        <v>78</v>
      </c>
      <c r="E10" s="11"/>
      <c r="F10" s="11"/>
      <c r="G10" s="5" t="s">
        <v>18</v>
      </c>
      <c r="H10" s="5" t="s">
        <v>18</v>
      </c>
      <c r="I10" s="5" t="s">
        <v>27</v>
      </c>
      <c r="J10" s="5">
        <v>9007492791</v>
      </c>
      <c r="K10" s="5" t="s">
        <v>211</v>
      </c>
      <c r="L10" s="5" t="s">
        <v>123</v>
      </c>
      <c r="M10" s="5" t="s">
        <v>29</v>
      </c>
      <c r="N10" s="5" t="s">
        <v>76</v>
      </c>
      <c r="O10" s="5">
        <v>6</v>
      </c>
      <c r="P10" s="5" t="s">
        <v>34</v>
      </c>
      <c r="Q10" s="5" t="s">
        <v>67</v>
      </c>
      <c r="U10" s="5">
        <v>75462911855</v>
      </c>
      <c r="V10" s="11">
        <v>45871</v>
      </c>
      <c r="W10" s="11">
        <v>0.68983796296296296</v>
      </c>
      <c r="X10" s="5">
        <f t="shared" si="0"/>
        <v>8</v>
      </c>
      <c r="Y10" s="5">
        <f t="shared" si="4"/>
        <v>31</v>
      </c>
      <c r="Z10" s="5">
        <f t="shared" si="5"/>
        <v>2</v>
      </c>
      <c r="AA10" s="5">
        <f t="shared" si="6"/>
        <v>7</v>
      </c>
      <c r="AB10" s="5" t="str">
        <f t="shared" si="7"/>
        <v>16 - 17 hr</v>
      </c>
      <c r="AC10" s="5" t="s">
        <v>58</v>
      </c>
      <c r="AD10" s="11">
        <v>45875</v>
      </c>
      <c r="AE10" s="11">
        <v>0.41517361111111112</v>
      </c>
      <c r="AF10" s="5" t="s">
        <v>18</v>
      </c>
      <c r="AG10" s="5" t="s">
        <v>18</v>
      </c>
      <c r="AH10" s="5" t="s">
        <v>49</v>
      </c>
      <c r="AI10" s="5">
        <v>7999705716</v>
      </c>
      <c r="AJ10" s="5" t="s">
        <v>359</v>
      </c>
      <c r="AK10" s="5" t="s">
        <v>85</v>
      </c>
      <c r="AL10" s="5" t="s">
        <v>33</v>
      </c>
      <c r="AM10" s="5" t="s">
        <v>86</v>
      </c>
      <c r="AN10" s="5">
        <v>3</v>
      </c>
      <c r="AO10" s="5" t="s">
        <v>24</v>
      </c>
      <c r="AP10" s="5" t="s">
        <v>25</v>
      </c>
      <c r="AQ10" s="5">
        <f t="shared" si="1"/>
        <v>89.408055555482861</v>
      </c>
      <c r="AR10" s="5">
        <f t="shared" si="2"/>
        <v>3.73</v>
      </c>
      <c r="AS10" s="5" t="str">
        <f t="shared" si="3"/>
        <v>1-4 days</v>
      </c>
      <c r="AT10" s="5" t="str">
        <f t="shared" ca="1" si="8"/>
        <v>STATUS-COMPLETE</v>
      </c>
      <c r="AU10" s="5" t="str">
        <f t="shared" ca="1" si="9"/>
        <v>STATUS-COMPLETE</v>
      </c>
      <c r="EK10" s="21"/>
      <c r="EU10" s="3" t="s">
        <v>392</v>
      </c>
      <c r="EV10" s="64">
        <v>166</v>
      </c>
      <c r="EW10" s="64">
        <v>59</v>
      </c>
      <c r="EX10" s="64">
        <v>225</v>
      </c>
    </row>
    <row r="11" spans="1:155" x14ac:dyDescent="0.3">
      <c r="A11" s="5">
        <v>75428612164</v>
      </c>
      <c r="B11" s="6">
        <v>45871</v>
      </c>
      <c r="C11" s="11">
        <v>0.77101851851851855</v>
      </c>
      <c r="D11" s="5" t="s">
        <v>58</v>
      </c>
      <c r="E11" s="11">
        <v>45882</v>
      </c>
      <c r="F11" s="11">
        <v>0.43515046296296295</v>
      </c>
      <c r="G11" s="5" t="s">
        <v>18</v>
      </c>
      <c r="H11" s="5" t="s">
        <v>18</v>
      </c>
      <c r="I11" s="5" t="s">
        <v>49</v>
      </c>
      <c r="J11" s="5">
        <v>9480920839</v>
      </c>
      <c r="K11" s="5" t="s">
        <v>231</v>
      </c>
      <c r="L11" s="5" t="s">
        <v>51</v>
      </c>
      <c r="M11" s="5" t="s">
        <v>33</v>
      </c>
      <c r="N11" s="5" t="s">
        <v>52</v>
      </c>
      <c r="O11" s="5">
        <v>2</v>
      </c>
      <c r="P11" s="5" t="s">
        <v>24</v>
      </c>
      <c r="Q11" s="5" t="s">
        <v>25</v>
      </c>
      <c r="U11" s="5">
        <v>75650636897</v>
      </c>
      <c r="V11" s="11">
        <v>45872</v>
      </c>
      <c r="W11" s="11">
        <v>0.57696759259259256</v>
      </c>
      <c r="X11" s="5">
        <f t="shared" si="0"/>
        <v>8</v>
      </c>
      <c r="Y11" s="5">
        <f t="shared" si="4"/>
        <v>32</v>
      </c>
      <c r="Z11" s="5">
        <f t="shared" si="5"/>
        <v>3</v>
      </c>
      <c r="AA11" s="5">
        <f t="shared" si="6"/>
        <v>1</v>
      </c>
      <c r="AB11" s="5" t="str">
        <f t="shared" si="7"/>
        <v>13 - 14 hr</v>
      </c>
      <c r="AC11" s="5" t="s">
        <v>58</v>
      </c>
      <c r="AD11" s="11">
        <v>45884</v>
      </c>
      <c r="AE11" s="11">
        <v>0.57285879629629632</v>
      </c>
      <c r="AF11" s="5" t="s">
        <v>18</v>
      </c>
      <c r="AG11" s="5" t="s">
        <v>18</v>
      </c>
      <c r="AH11" s="5" t="s">
        <v>27</v>
      </c>
      <c r="AI11" s="5">
        <v>9839759520</v>
      </c>
      <c r="AJ11" s="5" t="s">
        <v>97</v>
      </c>
      <c r="AK11" s="5" t="s">
        <v>98</v>
      </c>
      <c r="AL11" s="5" t="s">
        <v>29</v>
      </c>
      <c r="AM11" s="5" t="s">
        <v>23</v>
      </c>
      <c r="AN11" s="5">
        <v>2</v>
      </c>
      <c r="AO11" s="5" t="s">
        <v>24</v>
      </c>
      <c r="AP11" s="5" t="s">
        <v>25</v>
      </c>
      <c r="AQ11" s="5">
        <f t="shared" si="1"/>
        <v>287.9013888888876</v>
      </c>
      <c r="AR11" s="5">
        <f t="shared" si="2"/>
        <v>12</v>
      </c>
      <c r="AS11" s="5" t="str">
        <f t="shared" si="3"/>
        <v>9-12 days</v>
      </c>
      <c r="AT11" s="5" t="str">
        <f t="shared" ca="1" si="8"/>
        <v>STATUS-COMPLETE</v>
      </c>
      <c r="AU11" s="5" t="str">
        <f t="shared" ca="1" si="9"/>
        <v>STATUS-COMPLETE</v>
      </c>
    </row>
    <row r="12" spans="1:155" x14ac:dyDescent="0.3">
      <c r="A12" s="5">
        <v>75430465806</v>
      </c>
      <c r="B12" s="6">
        <v>45916</v>
      </c>
      <c r="C12" s="11">
        <v>0.41853009259259261</v>
      </c>
      <c r="D12" s="5" t="s">
        <v>58</v>
      </c>
      <c r="E12" s="11"/>
      <c r="F12" s="11"/>
      <c r="G12" s="5" t="s">
        <v>18</v>
      </c>
      <c r="H12" s="5" t="s">
        <v>18</v>
      </c>
      <c r="I12" s="5" t="s">
        <v>49</v>
      </c>
      <c r="J12" s="5">
        <v>8136688451</v>
      </c>
      <c r="K12" s="5" t="s">
        <v>217</v>
      </c>
      <c r="L12" s="5" t="s">
        <v>218</v>
      </c>
      <c r="M12" s="5" t="s">
        <v>22</v>
      </c>
      <c r="N12" s="5" t="s">
        <v>102</v>
      </c>
      <c r="O12" s="5">
        <v>9</v>
      </c>
      <c r="P12" s="5" t="s">
        <v>34</v>
      </c>
      <c r="Q12" s="5" t="s">
        <v>60</v>
      </c>
      <c r="U12" s="5">
        <v>75668830491</v>
      </c>
      <c r="V12" s="11">
        <v>45872</v>
      </c>
      <c r="W12" s="11">
        <v>0.37863425925925925</v>
      </c>
      <c r="X12" s="5">
        <f t="shared" si="0"/>
        <v>8</v>
      </c>
      <c r="Y12" s="5">
        <f t="shared" si="4"/>
        <v>32</v>
      </c>
      <c r="Z12" s="5">
        <f t="shared" si="5"/>
        <v>3</v>
      </c>
      <c r="AA12" s="5">
        <f t="shared" si="6"/>
        <v>1</v>
      </c>
      <c r="AB12" s="5" t="str">
        <f t="shared" si="7"/>
        <v>9 - 10 hr</v>
      </c>
      <c r="AC12" s="5" t="s">
        <v>58</v>
      </c>
      <c r="AD12" s="11"/>
      <c r="AE12" s="11"/>
      <c r="AF12" s="5" t="s">
        <v>18</v>
      </c>
      <c r="AG12" s="5" t="s">
        <v>18</v>
      </c>
      <c r="AH12" s="5" t="s">
        <v>49</v>
      </c>
      <c r="AI12" s="5">
        <v>9521673791</v>
      </c>
      <c r="AJ12" s="5" t="s">
        <v>100</v>
      </c>
      <c r="AK12" s="5" t="s">
        <v>101</v>
      </c>
      <c r="AL12" s="5" t="s">
        <v>33</v>
      </c>
      <c r="AM12" s="5" t="s">
        <v>102</v>
      </c>
      <c r="AN12" s="5">
        <v>1</v>
      </c>
      <c r="AO12" s="5" t="s">
        <v>34</v>
      </c>
      <c r="AP12" s="5" t="s">
        <v>35</v>
      </c>
      <c r="AQ12" s="5" t="str">
        <f t="shared" si="1"/>
        <v>Issue_pending</v>
      </c>
      <c r="AR12" s="5" t="str">
        <f t="shared" si="2"/>
        <v>Issue_pending</v>
      </c>
      <c r="AS12" s="5" t="str">
        <f t="shared" si="3"/>
        <v>Issue_pending</v>
      </c>
      <c r="AT12" s="5">
        <f t="shared" ca="1" si="8"/>
        <v>58</v>
      </c>
      <c r="AU12" s="5" t="str">
        <f t="shared" ca="1" si="9"/>
        <v>&gt;20 days</v>
      </c>
      <c r="AZ12" s="2" t="s">
        <v>394</v>
      </c>
      <c r="BA12" s="2" t="s">
        <v>393</v>
      </c>
      <c r="EF12" t="s">
        <v>503</v>
      </c>
    </row>
    <row r="13" spans="1:155" x14ac:dyDescent="0.3">
      <c r="A13" s="5">
        <v>75431656371</v>
      </c>
      <c r="B13" s="6">
        <v>45897</v>
      </c>
      <c r="C13" s="11">
        <v>0.65517361111111116</v>
      </c>
      <c r="D13" s="5" t="s">
        <v>95</v>
      </c>
      <c r="E13" s="11"/>
      <c r="F13" s="11"/>
      <c r="G13" s="5" t="s">
        <v>18</v>
      </c>
      <c r="H13" s="5" t="s">
        <v>18</v>
      </c>
      <c r="I13" s="5" t="s">
        <v>27</v>
      </c>
      <c r="J13" s="5">
        <v>8520174713</v>
      </c>
      <c r="K13" s="5" t="s">
        <v>355</v>
      </c>
      <c r="L13" s="5" t="s">
        <v>263</v>
      </c>
      <c r="M13" s="5" t="s">
        <v>29</v>
      </c>
      <c r="N13" s="5" t="s">
        <v>72</v>
      </c>
      <c r="O13" s="5">
        <v>5</v>
      </c>
      <c r="P13" s="5" t="s">
        <v>34</v>
      </c>
      <c r="Q13" s="5" t="s">
        <v>60</v>
      </c>
      <c r="U13" s="5">
        <v>75716872439</v>
      </c>
      <c r="V13" s="11">
        <v>45872</v>
      </c>
      <c r="W13" s="11">
        <v>0.61627314814814815</v>
      </c>
      <c r="X13" s="5">
        <f t="shared" si="0"/>
        <v>8</v>
      </c>
      <c r="Y13" s="5">
        <f t="shared" si="4"/>
        <v>32</v>
      </c>
      <c r="Z13" s="5">
        <f t="shared" si="5"/>
        <v>3</v>
      </c>
      <c r="AA13" s="5">
        <f t="shared" si="6"/>
        <v>1</v>
      </c>
      <c r="AB13" s="5" t="str">
        <f t="shared" si="7"/>
        <v>14 - 15 hr</v>
      </c>
      <c r="AC13" s="5" t="s">
        <v>95</v>
      </c>
      <c r="AD13" s="11">
        <v>45880</v>
      </c>
      <c r="AE13" s="11">
        <v>0.40096064814814814</v>
      </c>
      <c r="AF13" s="5" t="s">
        <v>18</v>
      </c>
      <c r="AG13" s="5" t="s">
        <v>18</v>
      </c>
      <c r="AH13" s="5" t="s">
        <v>27</v>
      </c>
      <c r="AI13" s="5">
        <v>7862407093</v>
      </c>
      <c r="AJ13" s="5" t="s">
        <v>130</v>
      </c>
      <c r="AK13" s="5" t="s">
        <v>54</v>
      </c>
      <c r="AL13" s="5" t="s">
        <v>82</v>
      </c>
      <c r="AM13" s="5" t="s">
        <v>42</v>
      </c>
      <c r="AN13" s="5">
        <v>6</v>
      </c>
      <c r="AO13" s="5" t="s">
        <v>24</v>
      </c>
      <c r="AP13" s="5" t="s">
        <v>25</v>
      </c>
      <c r="AQ13" s="5">
        <f t="shared" si="1"/>
        <v>186.83250000007683</v>
      </c>
      <c r="AR13" s="5">
        <f t="shared" si="2"/>
        <v>7.78</v>
      </c>
      <c r="AS13" s="5" t="str">
        <f t="shared" si="3"/>
        <v>5-8 days</v>
      </c>
      <c r="AT13" s="5" t="str">
        <f t="shared" ca="1" si="8"/>
        <v>STATUS-COMPLETE</v>
      </c>
      <c r="AU13" s="5" t="str">
        <f t="shared" ca="1" si="9"/>
        <v>STATUS-COMPLETE</v>
      </c>
      <c r="AZ13" s="2" t="s">
        <v>391</v>
      </c>
      <c r="BA13" t="s">
        <v>504</v>
      </c>
      <c r="BB13" t="s">
        <v>505</v>
      </c>
      <c r="BC13" t="s">
        <v>506</v>
      </c>
      <c r="BD13" t="s">
        <v>392</v>
      </c>
      <c r="EF13" s="12">
        <v>6.7445569620253183</v>
      </c>
      <c r="EU13" s="2" t="s">
        <v>394</v>
      </c>
      <c r="EV13" s="2" t="s">
        <v>393</v>
      </c>
    </row>
    <row r="14" spans="1:155" x14ac:dyDescent="0.3">
      <c r="A14" s="5">
        <v>75432816979</v>
      </c>
      <c r="B14" s="6">
        <v>45887</v>
      </c>
      <c r="C14" s="11">
        <v>0.51633101851851848</v>
      </c>
      <c r="D14" s="5" t="s">
        <v>58</v>
      </c>
      <c r="E14" s="11">
        <v>45895</v>
      </c>
      <c r="F14" s="11">
        <v>0.72615740740740742</v>
      </c>
      <c r="G14" s="5" t="s">
        <v>18</v>
      </c>
      <c r="H14" s="5" t="s">
        <v>18</v>
      </c>
      <c r="I14" s="5" t="s">
        <v>19</v>
      </c>
      <c r="J14" s="5">
        <v>8915999663</v>
      </c>
      <c r="K14" s="5" t="s">
        <v>386</v>
      </c>
      <c r="L14" s="5" t="s">
        <v>324</v>
      </c>
      <c r="M14" s="5" t="s">
        <v>22</v>
      </c>
      <c r="N14" s="5" t="s">
        <v>63</v>
      </c>
      <c r="O14" s="5">
        <v>7</v>
      </c>
      <c r="P14" s="5" t="s">
        <v>24</v>
      </c>
      <c r="Q14" s="5" t="s">
        <v>25</v>
      </c>
      <c r="U14" s="5">
        <v>75834245762</v>
      </c>
      <c r="V14" s="11">
        <v>45872</v>
      </c>
      <c r="W14" s="11">
        <v>0.86141203703703706</v>
      </c>
      <c r="X14" s="5">
        <f t="shared" si="0"/>
        <v>8</v>
      </c>
      <c r="Y14" s="5">
        <f t="shared" si="4"/>
        <v>32</v>
      </c>
      <c r="Z14" s="5">
        <f t="shared" si="5"/>
        <v>3</v>
      </c>
      <c r="AA14" s="5">
        <f t="shared" si="6"/>
        <v>1</v>
      </c>
      <c r="AB14" s="5" t="str">
        <f t="shared" si="7"/>
        <v>20 - 21 hr</v>
      </c>
      <c r="AC14" s="5" t="s">
        <v>30</v>
      </c>
      <c r="AD14" s="11">
        <v>45880</v>
      </c>
      <c r="AE14" s="11">
        <v>0.4550925925925926</v>
      </c>
      <c r="AF14" s="5" t="s">
        <v>18</v>
      </c>
      <c r="AG14" s="5" t="s">
        <v>18</v>
      </c>
      <c r="AH14" s="5" t="s">
        <v>49</v>
      </c>
      <c r="AI14" s="5">
        <v>7494665880</v>
      </c>
      <c r="AJ14" s="5" t="s">
        <v>163</v>
      </c>
      <c r="AK14" s="5" t="s">
        <v>85</v>
      </c>
      <c r="AL14" s="5" t="s">
        <v>29</v>
      </c>
      <c r="AM14" s="5" t="s">
        <v>86</v>
      </c>
      <c r="AN14" s="5">
        <v>7</v>
      </c>
      <c r="AO14" s="5" t="s">
        <v>24</v>
      </c>
      <c r="AP14" s="5" t="s">
        <v>25</v>
      </c>
      <c r="AQ14" s="5">
        <f t="shared" si="1"/>
        <v>182.24833333329298</v>
      </c>
      <c r="AR14" s="5">
        <f t="shared" si="2"/>
        <v>7.59</v>
      </c>
      <c r="AS14" s="5" t="str">
        <f t="shared" si="3"/>
        <v>5-8 days</v>
      </c>
      <c r="AT14" s="5" t="str">
        <f t="shared" ca="1" si="8"/>
        <v>STATUS-COMPLETE</v>
      </c>
      <c r="AU14" s="5" t="str">
        <f t="shared" ca="1" si="9"/>
        <v>STATUS-COMPLETE</v>
      </c>
      <c r="AZ14" s="3" t="s">
        <v>27</v>
      </c>
      <c r="BA14" s="64">
        <v>19</v>
      </c>
      <c r="BB14" s="64">
        <v>19</v>
      </c>
      <c r="BC14" s="64">
        <v>22</v>
      </c>
      <c r="BD14" s="64">
        <v>60</v>
      </c>
      <c r="CH14" s="2" t="s">
        <v>393</v>
      </c>
      <c r="EU14" s="2" t="s">
        <v>391</v>
      </c>
      <c r="EV14" t="s">
        <v>504</v>
      </c>
      <c r="EW14" t="s">
        <v>505</v>
      </c>
      <c r="EX14" t="s">
        <v>506</v>
      </c>
      <c r="EY14" t="s">
        <v>392</v>
      </c>
    </row>
    <row r="15" spans="1:155" x14ac:dyDescent="0.3">
      <c r="A15" s="5">
        <v>75434770706</v>
      </c>
      <c r="B15" s="6">
        <v>45870</v>
      </c>
      <c r="C15" s="11">
        <v>0.48495370370370372</v>
      </c>
      <c r="D15" s="5" t="s">
        <v>58</v>
      </c>
      <c r="E15" s="11"/>
      <c r="F15" s="11"/>
      <c r="G15" s="5" t="s">
        <v>18</v>
      </c>
      <c r="H15" s="5" t="s">
        <v>18</v>
      </c>
      <c r="I15" s="5" t="s">
        <v>49</v>
      </c>
      <c r="J15" s="5">
        <v>7948737873</v>
      </c>
      <c r="K15" s="5" t="s">
        <v>367</v>
      </c>
      <c r="L15" s="5" t="s">
        <v>368</v>
      </c>
      <c r="M15" s="5" t="s">
        <v>29</v>
      </c>
      <c r="N15" s="5" t="s">
        <v>102</v>
      </c>
      <c r="O15" s="5">
        <v>4</v>
      </c>
      <c r="P15" s="5" t="s">
        <v>34</v>
      </c>
      <c r="Q15" s="5" t="s">
        <v>35</v>
      </c>
      <c r="U15" s="5">
        <v>75588751681</v>
      </c>
      <c r="V15" s="11">
        <v>45872</v>
      </c>
      <c r="W15" s="11">
        <v>0.4120949074074074</v>
      </c>
      <c r="X15" s="5">
        <f t="shared" si="0"/>
        <v>8</v>
      </c>
      <c r="Y15" s="5">
        <f t="shared" si="4"/>
        <v>32</v>
      </c>
      <c r="Z15" s="5">
        <f t="shared" si="5"/>
        <v>3</v>
      </c>
      <c r="AA15" s="5">
        <f t="shared" si="6"/>
        <v>1</v>
      </c>
      <c r="AB15" s="5" t="str">
        <f t="shared" si="7"/>
        <v>9 - 10 hr</v>
      </c>
      <c r="AC15" s="5" t="s">
        <v>48</v>
      </c>
      <c r="AD15" s="11"/>
      <c r="AE15" s="11"/>
      <c r="AF15" s="5" t="s">
        <v>18</v>
      </c>
      <c r="AG15" s="5" t="s">
        <v>18</v>
      </c>
      <c r="AH15" s="5" t="s">
        <v>49</v>
      </c>
      <c r="AI15" s="5">
        <v>7800202342</v>
      </c>
      <c r="AJ15" s="5" t="s">
        <v>243</v>
      </c>
      <c r="AK15" s="5" t="s">
        <v>244</v>
      </c>
      <c r="AL15" s="5" t="s">
        <v>29</v>
      </c>
      <c r="AM15" s="5" t="s">
        <v>66</v>
      </c>
      <c r="AN15" s="5">
        <v>3</v>
      </c>
      <c r="AO15" s="5" t="s">
        <v>34</v>
      </c>
      <c r="AP15" s="5" t="s">
        <v>67</v>
      </c>
      <c r="AQ15" s="5" t="str">
        <f t="shared" si="1"/>
        <v>Issue_pending</v>
      </c>
      <c r="AR15" s="5" t="str">
        <f t="shared" si="2"/>
        <v>Issue_pending</v>
      </c>
      <c r="AS15" s="5" t="str">
        <f t="shared" si="3"/>
        <v>Issue_pending</v>
      </c>
      <c r="AT15" s="5">
        <f t="shared" ca="1" si="8"/>
        <v>58</v>
      </c>
      <c r="AU15" s="5" t="str">
        <f t="shared" ca="1" si="9"/>
        <v>&gt;20 days</v>
      </c>
      <c r="AZ15" s="3" t="s">
        <v>49</v>
      </c>
      <c r="BA15" s="64">
        <v>11</v>
      </c>
      <c r="BB15" s="64">
        <v>20</v>
      </c>
      <c r="BC15" s="64">
        <v>22</v>
      </c>
      <c r="BD15" s="64">
        <v>53</v>
      </c>
      <c r="CH15" t="s">
        <v>24</v>
      </c>
      <c r="CJ15" t="s">
        <v>34</v>
      </c>
      <c r="CL15" t="s">
        <v>679</v>
      </c>
      <c r="CM15" t="s">
        <v>677</v>
      </c>
      <c r="EU15" s="3" t="s">
        <v>29</v>
      </c>
      <c r="EV15" s="64">
        <v>11</v>
      </c>
      <c r="EW15" s="64">
        <v>15</v>
      </c>
      <c r="EX15" s="64">
        <v>18</v>
      </c>
      <c r="EY15" s="64">
        <v>44</v>
      </c>
    </row>
    <row r="16" spans="1:155" x14ac:dyDescent="0.3">
      <c r="A16" s="5">
        <v>75437365109</v>
      </c>
      <c r="B16" s="6">
        <v>45913</v>
      </c>
      <c r="C16" s="11">
        <v>0.46128472222222222</v>
      </c>
      <c r="D16" s="5" t="s">
        <v>78</v>
      </c>
      <c r="E16" s="11">
        <v>45914</v>
      </c>
      <c r="F16" s="11">
        <v>0.49627314814814816</v>
      </c>
      <c r="G16" s="5" t="s">
        <v>18</v>
      </c>
      <c r="H16" s="5" t="s">
        <v>18</v>
      </c>
      <c r="I16" s="5" t="s">
        <v>27</v>
      </c>
      <c r="J16" s="5">
        <v>8555424924</v>
      </c>
      <c r="K16" s="5" t="s">
        <v>204</v>
      </c>
      <c r="L16" s="5" t="s">
        <v>205</v>
      </c>
      <c r="M16" s="5" t="s">
        <v>29</v>
      </c>
      <c r="N16" s="5" t="s">
        <v>203</v>
      </c>
      <c r="O16" s="5">
        <v>7</v>
      </c>
      <c r="P16" s="5" t="s">
        <v>24</v>
      </c>
      <c r="Q16" s="5" t="s">
        <v>25</v>
      </c>
      <c r="U16" s="5">
        <v>75802074351</v>
      </c>
      <c r="V16" s="11">
        <v>45872</v>
      </c>
      <c r="W16" s="11">
        <v>0.64508101851851851</v>
      </c>
      <c r="X16" s="5">
        <f t="shared" si="0"/>
        <v>8</v>
      </c>
      <c r="Y16" s="5">
        <f t="shared" si="4"/>
        <v>32</v>
      </c>
      <c r="Z16" s="5">
        <f t="shared" si="5"/>
        <v>3</v>
      </c>
      <c r="AA16" s="5">
        <f t="shared" si="6"/>
        <v>1</v>
      </c>
      <c r="AB16" s="5" t="str">
        <f t="shared" si="7"/>
        <v>15 - 16 hr</v>
      </c>
      <c r="AC16" s="5" t="s">
        <v>55</v>
      </c>
      <c r="AD16" s="11">
        <v>45875</v>
      </c>
      <c r="AE16" s="11">
        <v>0.49283564814814818</v>
      </c>
      <c r="AF16" s="5" t="s">
        <v>18</v>
      </c>
      <c r="AG16" s="5" t="s">
        <v>18</v>
      </c>
      <c r="AH16" s="5" t="s">
        <v>27</v>
      </c>
      <c r="AI16" s="5">
        <v>8613385303</v>
      </c>
      <c r="AJ16" s="5" t="s">
        <v>257</v>
      </c>
      <c r="AK16" s="5" t="s">
        <v>258</v>
      </c>
      <c r="AL16" s="5" t="s">
        <v>29</v>
      </c>
      <c r="AM16" s="5" t="s">
        <v>76</v>
      </c>
      <c r="AN16" s="5">
        <v>3</v>
      </c>
      <c r="AO16" s="5" t="s">
        <v>24</v>
      </c>
      <c r="AP16" s="5" t="s">
        <v>25</v>
      </c>
      <c r="AQ16" s="5">
        <f t="shared" si="1"/>
        <v>68.346111111051869</v>
      </c>
      <c r="AR16" s="5">
        <f t="shared" si="2"/>
        <v>2.85</v>
      </c>
      <c r="AS16" s="5" t="str">
        <f t="shared" si="3"/>
        <v>1-4 days</v>
      </c>
      <c r="AT16" s="5" t="str">
        <f t="shared" ca="1" si="8"/>
        <v>STATUS-COMPLETE</v>
      </c>
      <c r="AU16" s="5" t="str">
        <f t="shared" ca="1" si="9"/>
        <v>STATUS-COMPLETE</v>
      </c>
      <c r="AZ16" s="3" t="s">
        <v>36</v>
      </c>
      <c r="BA16" s="64">
        <v>3</v>
      </c>
      <c r="BB16" s="64">
        <v>11</v>
      </c>
      <c r="BC16" s="64">
        <v>12</v>
      </c>
      <c r="BD16" s="64">
        <v>26</v>
      </c>
      <c r="CG16" s="2" t="s">
        <v>391</v>
      </c>
      <c r="CH16" t="s">
        <v>680</v>
      </c>
      <c r="CI16" t="s">
        <v>678</v>
      </c>
      <c r="CJ16" t="s">
        <v>680</v>
      </c>
      <c r="CK16" t="s">
        <v>678</v>
      </c>
      <c r="EU16" s="3" t="s">
        <v>22</v>
      </c>
      <c r="EV16" s="64">
        <v>11</v>
      </c>
      <c r="EW16" s="64">
        <v>16</v>
      </c>
      <c r="EX16" s="64">
        <v>13</v>
      </c>
      <c r="EY16" s="64">
        <v>40</v>
      </c>
    </row>
    <row r="17" spans="1:155" x14ac:dyDescent="0.3">
      <c r="A17" s="5">
        <v>75448766522</v>
      </c>
      <c r="B17" s="6">
        <v>45877</v>
      </c>
      <c r="C17" s="11">
        <v>0.51780092592592597</v>
      </c>
      <c r="D17" s="5" t="s">
        <v>43</v>
      </c>
      <c r="E17" s="11">
        <v>45879</v>
      </c>
      <c r="F17" s="11">
        <v>0.57202546296296297</v>
      </c>
      <c r="G17" s="5" t="s">
        <v>18</v>
      </c>
      <c r="H17" s="5" t="s">
        <v>18</v>
      </c>
      <c r="I17" s="5" t="s">
        <v>19</v>
      </c>
      <c r="J17" s="5">
        <v>7033015788</v>
      </c>
      <c r="K17" s="5" t="s">
        <v>160</v>
      </c>
      <c r="L17" s="5" t="s">
        <v>139</v>
      </c>
      <c r="M17" s="5" t="s">
        <v>29</v>
      </c>
      <c r="N17" s="5" t="s">
        <v>23</v>
      </c>
      <c r="O17" s="5">
        <v>1</v>
      </c>
      <c r="P17" s="5" t="s">
        <v>24</v>
      </c>
      <c r="Q17" s="5" t="s">
        <v>25</v>
      </c>
      <c r="U17" s="5">
        <v>75875788930</v>
      </c>
      <c r="V17" s="11">
        <v>45873</v>
      </c>
      <c r="W17" s="11">
        <v>0.81077546296296299</v>
      </c>
      <c r="X17" s="5">
        <f t="shared" si="0"/>
        <v>8</v>
      </c>
      <c r="Y17" s="5">
        <f t="shared" si="4"/>
        <v>32</v>
      </c>
      <c r="Z17" s="5">
        <f t="shared" si="5"/>
        <v>4</v>
      </c>
      <c r="AA17" s="5">
        <f t="shared" si="6"/>
        <v>2</v>
      </c>
      <c r="AB17" s="5" t="str">
        <f t="shared" si="7"/>
        <v>19 - 20 hr</v>
      </c>
      <c r="AC17" s="5" t="s">
        <v>58</v>
      </c>
      <c r="AD17" s="11"/>
      <c r="AE17" s="11"/>
      <c r="AF17" s="5" t="s">
        <v>18</v>
      </c>
      <c r="AG17" s="5" t="s">
        <v>18</v>
      </c>
      <c r="AH17" s="5" t="s">
        <v>49</v>
      </c>
      <c r="AI17" s="5">
        <v>8898565319</v>
      </c>
      <c r="AJ17" s="5" t="s">
        <v>158</v>
      </c>
      <c r="AK17" s="5" t="s">
        <v>159</v>
      </c>
      <c r="AL17" s="5" t="s">
        <v>33</v>
      </c>
      <c r="AM17" s="5" t="s">
        <v>102</v>
      </c>
      <c r="AN17" s="5">
        <v>4</v>
      </c>
      <c r="AO17" s="5" t="s">
        <v>24</v>
      </c>
      <c r="AP17" s="5" t="s">
        <v>25</v>
      </c>
      <c r="AQ17" s="5" t="str">
        <f t="shared" si="1"/>
        <v>Issue_solved_date_absent</v>
      </c>
      <c r="AR17" s="5" t="str">
        <f t="shared" si="2"/>
        <v>Issue_solved_date_absent</v>
      </c>
      <c r="AS17" s="5" t="str">
        <f t="shared" si="3"/>
        <v>Issue_solved_date_absent</v>
      </c>
      <c r="AT17" s="5" t="str">
        <f t="shared" ca="1" si="8"/>
        <v>STATUS-COMPLETE</v>
      </c>
      <c r="AU17" s="5" t="str">
        <f t="shared" ca="1" si="9"/>
        <v>STATUS-COMPLETE</v>
      </c>
      <c r="AZ17" s="3" t="s">
        <v>19</v>
      </c>
      <c r="BA17" s="64">
        <v>6</v>
      </c>
      <c r="BB17" s="64">
        <v>8</v>
      </c>
      <c r="BC17" s="64">
        <v>5</v>
      </c>
      <c r="BD17" s="64">
        <v>19</v>
      </c>
      <c r="CG17" s="3" t="s">
        <v>29</v>
      </c>
      <c r="CH17" s="64">
        <v>45</v>
      </c>
      <c r="CI17" s="66">
        <v>0.7142857142857143</v>
      </c>
      <c r="CJ17" s="64">
        <v>18</v>
      </c>
      <c r="CK17" s="66">
        <v>0.2857142857142857</v>
      </c>
      <c r="CL17" s="64">
        <v>63</v>
      </c>
      <c r="CM17" s="66">
        <v>1</v>
      </c>
      <c r="EG17" s="2" t="s">
        <v>393</v>
      </c>
      <c r="EU17" s="3" t="s">
        <v>82</v>
      </c>
      <c r="EV17" s="64">
        <v>8</v>
      </c>
      <c r="EW17" s="64">
        <v>16</v>
      </c>
      <c r="EX17" s="64">
        <v>14</v>
      </c>
      <c r="EY17" s="64">
        <v>38</v>
      </c>
    </row>
    <row r="18" spans="1:155" x14ac:dyDescent="0.3">
      <c r="A18" s="5">
        <v>75454337019</v>
      </c>
      <c r="B18" s="6">
        <v>45890</v>
      </c>
      <c r="C18" s="11">
        <v>0.55896990740740737</v>
      </c>
      <c r="D18" s="5" t="s">
        <v>58</v>
      </c>
      <c r="E18" s="11">
        <v>45892</v>
      </c>
      <c r="F18" s="11">
        <v>0.56128472222222225</v>
      </c>
      <c r="G18" s="5" t="s">
        <v>18</v>
      </c>
      <c r="H18" s="5" t="s">
        <v>18</v>
      </c>
      <c r="I18" s="5" t="s">
        <v>27</v>
      </c>
      <c r="J18" s="5">
        <v>8795875043</v>
      </c>
      <c r="K18" s="5" t="s">
        <v>222</v>
      </c>
      <c r="L18" s="5" t="s">
        <v>41</v>
      </c>
      <c r="M18" s="5" t="s">
        <v>82</v>
      </c>
      <c r="N18" s="5" t="s">
        <v>42</v>
      </c>
      <c r="O18" s="5">
        <v>5</v>
      </c>
      <c r="P18" s="5" t="s">
        <v>24</v>
      </c>
      <c r="Q18" s="5" t="s">
        <v>25</v>
      </c>
      <c r="U18" s="5">
        <v>75641096660</v>
      </c>
      <c r="V18" s="11">
        <v>45873</v>
      </c>
      <c r="W18" s="11">
        <v>0.38957175925925924</v>
      </c>
      <c r="X18" s="5">
        <f t="shared" si="0"/>
        <v>8</v>
      </c>
      <c r="Y18" s="5">
        <f t="shared" si="4"/>
        <v>32</v>
      </c>
      <c r="Z18" s="5">
        <f t="shared" si="5"/>
        <v>4</v>
      </c>
      <c r="AA18" s="5">
        <f t="shared" si="6"/>
        <v>2</v>
      </c>
      <c r="AB18" s="5" t="str">
        <f t="shared" si="7"/>
        <v>9 - 10 hr</v>
      </c>
      <c r="AC18" s="5" t="s">
        <v>17</v>
      </c>
      <c r="AD18" s="11">
        <v>45879</v>
      </c>
      <c r="AE18" s="11">
        <v>0.51672453703703702</v>
      </c>
      <c r="AF18" s="5" t="s">
        <v>18</v>
      </c>
      <c r="AG18" s="5" t="s">
        <v>18</v>
      </c>
      <c r="AH18" s="5" t="s">
        <v>27</v>
      </c>
      <c r="AI18" s="5">
        <v>9791559885</v>
      </c>
      <c r="AJ18" s="5" t="s">
        <v>185</v>
      </c>
      <c r="AK18" s="5" t="s">
        <v>115</v>
      </c>
      <c r="AL18" s="5" t="s">
        <v>33</v>
      </c>
      <c r="AM18" s="5" t="s">
        <v>116</v>
      </c>
      <c r="AN18" s="5">
        <v>6</v>
      </c>
      <c r="AO18" s="5" t="s">
        <v>24</v>
      </c>
      <c r="AP18" s="5" t="s">
        <v>25</v>
      </c>
      <c r="AQ18" s="5">
        <f t="shared" si="1"/>
        <v>147.05166666669538</v>
      </c>
      <c r="AR18" s="5">
        <f t="shared" si="2"/>
        <v>6.13</v>
      </c>
      <c r="AS18" s="5" t="str">
        <f t="shared" si="3"/>
        <v>5-8 days</v>
      </c>
      <c r="AT18" s="5" t="str">
        <f t="shared" ca="1" si="8"/>
        <v>STATUS-COMPLETE</v>
      </c>
      <c r="AU18" s="5" t="str">
        <f t="shared" ca="1" si="9"/>
        <v>STATUS-COMPLETE</v>
      </c>
      <c r="AZ18" s="3" t="s">
        <v>392</v>
      </c>
      <c r="BA18" s="64">
        <v>39</v>
      </c>
      <c r="BB18" s="64">
        <v>58</v>
      </c>
      <c r="BC18" s="64">
        <v>61</v>
      </c>
      <c r="BD18" s="64">
        <v>158</v>
      </c>
      <c r="CG18" s="3" t="s">
        <v>22</v>
      </c>
      <c r="CH18" s="64">
        <v>46</v>
      </c>
      <c r="CI18" s="66">
        <v>0.73015873015873012</v>
      </c>
      <c r="CJ18" s="64">
        <v>17</v>
      </c>
      <c r="CK18" s="66">
        <v>0.26984126984126983</v>
      </c>
      <c r="CL18" s="64">
        <v>63</v>
      </c>
      <c r="CM18" s="66">
        <v>1</v>
      </c>
      <c r="EG18" t="s">
        <v>504</v>
      </c>
      <c r="EH18" t="s">
        <v>505</v>
      </c>
      <c r="EI18" t="s">
        <v>506</v>
      </c>
      <c r="EJ18" t="s">
        <v>494</v>
      </c>
      <c r="EK18" t="s">
        <v>392</v>
      </c>
      <c r="EU18" s="3" t="s">
        <v>33</v>
      </c>
      <c r="EV18" s="64">
        <v>9</v>
      </c>
      <c r="EW18" s="64">
        <v>11</v>
      </c>
      <c r="EX18" s="64">
        <v>16</v>
      </c>
      <c r="EY18" s="64">
        <v>36</v>
      </c>
    </row>
    <row r="19" spans="1:155" x14ac:dyDescent="0.3">
      <c r="A19" s="5">
        <v>75455417727</v>
      </c>
      <c r="B19" s="6">
        <v>45904</v>
      </c>
      <c r="C19" s="11">
        <v>0.5122106481481481</v>
      </c>
      <c r="D19" s="5" t="s">
        <v>95</v>
      </c>
      <c r="E19" s="11">
        <v>45905</v>
      </c>
      <c r="F19" s="11">
        <v>0.52318287037037037</v>
      </c>
      <c r="G19" s="5" t="s">
        <v>18</v>
      </c>
      <c r="H19" s="5" t="s">
        <v>18</v>
      </c>
      <c r="I19" s="5" t="s">
        <v>36</v>
      </c>
      <c r="J19" s="5">
        <v>8237075775</v>
      </c>
      <c r="K19" s="5" t="s">
        <v>107</v>
      </c>
      <c r="L19" s="5" t="s">
        <v>41</v>
      </c>
      <c r="M19" s="5" t="s">
        <v>29</v>
      </c>
      <c r="N19" s="5" t="s">
        <v>42</v>
      </c>
      <c r="O19" s="5">
        <v>8</v>
      </c>
      <c r="P19" s="5" t="s">
        <v>24</v>
      </c>
      <c r="Q19" s="5" t="s">
        <v>25</v>
      </c>
      <c r="U19" s="5">
        <v>75862705171</v>
      </c>
      <c r="V19" s="11">
        <v>45873</v>
      </c>
      <c r="W19" s="11">
        <v>0.49740740740740741</v>
      </c>
      <c r="X19" s="5">
        <f t="shared" si="0"/>
        <v>8</v>
      </c>
      <c r="Y19" s="5">
        <f t="shared" si="4"/>
        <v>32</v>
      </c>
      <c r="Z19" s="5">
        <f t="shared" si="5"/>
        <v>4</v>
      </c>
      <c r="AA19" s="5">
        <f t="shared" si="6"/>
        <v>2</v>
      </c>
      <c r="AB19" s="5" t="str">
        <f t="shared" si="7"/>
        <v>11 - 12 hr</v>
      </c>
      <c r="AC19" s="5" t="s">
        <v>78</v>
      </c>
      <c r="AD19" s="11"/>
      <c r="AE19" s="11"/>
      <c r="AF19" s="5" t="s">
        <v>18</v>
      </c>
      <c r="AG19" s="5" t="s">
        <v>18</v>
      </c>
      <c r="AH19" s="5" t="s">
        <v>27</v>
      </c>
      <c r="AI19" s="5">
        <v>8731963069</v>
      </c>
      <c r="AJ19" s="5" t="s">
        <v>225</v>
      </c>
      <c r="AK19" s="5" t="s">
        <v>226</v>
      </c>
      <c r="AL19" s="5" t="s">
        <v>22</v>
      </c>
      <c r="AM19" s="5" t="s">
        <v>94</v>
      </c>
      <c r="AN19" s="5">
        <v>8</v>
      </c>
      <c r="AO19" s="5" t="s">
        <v>24</v>
      </c>
      <c r="AP19" s="5" t="s">
        <v>25</v>
      </c>
      <c r="AQ19" s="5" t="str">
        <f t="shared" si="1"/>
        <v>Issue_solved_date_absent</v>
      </c>
      <c r="AR19" s="5" t="str">
        <f t="shared" si="2"/>
        <v>Issue_solved_date_absent</v>
      </c>
      <c r="AS19" s="5" t="str">
        <f t="shared" si="3"/>
        <v>Issue_solved_date_absent</v>
      </c>
      <c r="AT19" s="5" t="str">
        <f t="shared" ca="1" si="8"/>
        <v>STATUS-COMPLETE</v>
      </c>
      <c r="AU19" s="5" t="str">
        <f t="shared" ca="1" si="9"/>
        <v>STATUS-COMPLETE</v>
      </c>
      <c r="CG19" s="3" t="s">
        <v>33</v>
      </c>
      <c r="CH19" s="64">
        <v>37</v>
      </c>
      <c r="CI19" s="66">
        <v>0.71153846153846156</v>
      </c>
      <c r="CJ19" s="64">
        <v>15</v>
      </c>
      <c r="CK19" s="66">
        <v>0.28846153846153844</v>
      </c>
      <c r="CL19" s="64">
        <v>52</v>
      </c>
      <c r="CM19" s="66">
        <v>1</v>
      </c>
      <c r="EF19" t="s">
        <v>394</v>
      </c>
      <c r="EG19" s="64">
        <v>39</v>
      </c>
      <c r="EH19" s="64">
        <v>58</v>
      </c>
      <c r="EI19" s="64">
        <v>61</v>
      </c>
      <c r="EJ19" s="64">
        <v>8</v>
      </c>
      <c r="EK19" s="64">
        <v>166</v>
      </c>
      <c r="EU19" s="3" t="s">
        <v>392</v>
      </c>
      <c r="EV19" s="64">
        <v>39</v>
      </c>
      <c r="EW19" s="64">
        <v>58</v>
      </c>
      <c r="EX19" s="64">
        <v>61</v>
      </c>
      <c r="EY19" s="64">
        <v>158</v>
      </c>
    </row>
    <row r="20" spans="1:155" x14ac:dyDescent="0.3">
      <c r="A20" s="5">
        <v>75459738492</v>
      </c>
      <c r="B20" s="6">
        <v>45898</v>
      </c>
      <c r="C20" s="11">
        <v>0.67259259259259263</v>
      </c>
      <c r="D20" s="5" t="s">
        <v>55</v>
      </c>
      <c r="E20" s="11">
        <v>45902</v>
      </c>
      <c r="F20" s="11">
        <v>0.77158564814814812</v>
      </c>
      <c r="G20" s="5" t="s">
        <v>18</v>
      </c>
      <c r="H20" s="5" t="s">
        <v>18</v>
      </c>
      <c r="I20" s="5" t="s">
        <v>49</v>
      </c>
      <c r="J20" s="5">
        <v>8961934510</v>
      </c>
      <c r="K20" s="5" t="s">
        <v>255</v>
      </c>
      <c r="L20" s="5" t="s">
        <v>218</v>
      </c>
      <c r="M20" s="5" t="s">
        <v>29</v>
      </c>
      <c r="N20" s="5" t="s">
        <v>66</v>
      </c>
      <c r="O20" s="5">
        <v>1</v>
      </c>
      <c r="P20" s="5" t="s">
        <v>24</v>
      </c>
      <c r="Q20" s="5" t="s">
        <v>25</v>
      </c>
      <c r="U20" s="5">
        <v>75460606325</v>
      </c>
      <c r="V20" s="11">
        <v>45873</v>
      </c>
      <c r="W20" s="11">
        <v>0.48076388888888888</v>
      </c>
      <c r="X20" s="5">
        <f t="shared" si="0"/>
        <v>8</v>
      </c>
      <c r="Y20" s="5">
        <f t="shared" si="4"/>
        <v>32</v>
      </c>
      <c r="Z20" s="5">
        <f t="shared" si="5"/>
        <v>4</v>
      </c>
      <c r="AA20" s="5">
        <f t="shared" si="6"/>
        <v>2</v>
      </c>
      <c r="AB20" s="5" t="str">
        <f t="shared" si="7"/>
        <v>11 - 12 hr</v>
      </c>
      <c r="AC20" s="5" t="s">
        <v>26</v>
      </c>
      <c r="AD20" s="11">
        <v>45874</v>
      </c>
      <c r="AE20" s="11">
        <v>0.64460648148148147</v>
      </c>
      <c r="AF20" s="5" t="s">
        <v>18</v>
      </c>
      <c r="AG20" s="5" t="s">
        <v>18</v>
      </c>
      <c r="AH20" s="5" t="s">
        <v>27</v>
      </c>
      <c r="AI20" s="5">
        <v>9474375067</v>
      </c>
      <c r="AJ20" s="5" t="s">
        <v>262</v>
      </c>
      <c r="AK20" s="5" t="s">
        <v>263</v>
      </c>
      <c r="AL20" s="5" t="s">
        <v>82</v>
      </c>
      <c r="AM20" s="5" t="s">
        <v>72</v>
      </c>
      <c r="AN20" s="5">
        <v>5</v>
      </c>
      <c r="AO20" s="5" t="s">
        <v>24</v>
      </c>
      <c r="AP20" s="5" t="s">
        <v>25</v>
      </c>
      <c r="AQ20" s="5">
        <f t="shared" si="1"/>
        <v>27.932222222210839</v>
      </c>
      <c r="AR20" s="5">
        <f t="shared" si="2"/>
        <v>1.1599999999999999</v>
      </c>
      <c r="AS20" s="5" t="str">
        <f t="shared" si="3"/>
        <v>1-4 days</v>
      </c>
      <c r="AT20" s="5" t="str">
        <f t="shared" ca="1" si="8"/>
        <v>STATUS-COMPLETE</v>
      </c>
      <c r="AU20" s="5" t="str">
        <f t="shared" ca="1" si="9"/>
        <v>STATUS-COMPLETE</v>
      </c>
      <c r="CG20" s="3" t="s">
        <v>82</v>
      </c>
      <c r="CH20" s="64">
        <v>38</v>
      </c>
      <c r="CI20" s="66">
        <v>0.80851063829787229</v>
      </c>
      <c r="CJ20" s="64">
        <v>9</v>
      </c>
      <c r="CK20" s="66">
        <v>0.19148936170212766</v>
      </c>
      <c r="CL20" s="64">
        <v>47</v>
      </c>
      <c r="CM20" s="66">
        <v>1</v>
      </c>
    </row>
    <row r="21" spans="1:155" x14ac:dyDescent="0.3">
      <c r="A21" s="5">
        <v>75460606325</v>
      </c>
      <c r="B21" s="6">
        <v>45873</v>
      </c>
      <c r="C21" s="11">
        <v>0.48076388888888888</v>
      </c>
      <c r="D21" s="5" t="s">
        <v>26</v>
      </c>
      <c r="E21" s="11">
        <v>45874</v>
      </c>
      <c r="F21" s="11">
        <v>0.64460648148148147</v>
      </c>
      <c r="G21" s="5" t="s">
        <v>18</v>
      </c>
      <c r="H21" s="5" t="s">
        <v>18</v>
      </c>
      <c r="I21" s="5" t="s">
        <v>27</v>
      </c>
      <c r="J21" s="5">
        <v>9474375067</v>
      </c>
      <c r="K21" s="5" t="s">
        <v>262</v>
      </c>
      <c r="L21" s="5" t="s">
        <v>263</v>
      </c>
      <c r="M21" s="5" t="s">
        <v>82</v>
      </c>
      <c r="N21" s="5" t="s">
        <v>72</v>
      </c>
      <c r="O21" s="5">
        <v>5</v>
      </c>
      <c r="P21" s="5" t="s">
        <v>24</v>
      </c>
      <c r="Q21" s="5" t="s">
        <v>25</v>
      </c>
      <c r="U21" s="5">
        <v>75929442753</v>
      </c>
      <c r="V21" s="11">
        <v>45873</v>
      </c>
      <c r="W21" s="11">
        <v>0.64067129629629627</v>
      </c>
      <c r="X21" s="5">
        <f t="shared" si="0"/>
        <v>8</v>
      </c>
      <c r="Y21" s="5">
        <f t="shared" si="4"/>
        <v>32</v>
      </c>
      <c r="Z21" s="5">
        <f t="shared" si="5"/>
        <v>4</v>
      </c>
      <c r="AA21" s="5">
        <f t="shared" si="6"/>
        <v>2</v>
      </c>
      <c r="AB21" s="5" t="str">
        <f t="shared" si="7"/>
        <v>15 - 16 hr</v>
      </c>
      <c r="AC21" s="5" t="s">
        <v>55</v>
      </c>
      <c r="AD21" s="11">
        <v>45885</v>
      </c>
      <c r="AE21" s="11">
        <v>0.6325925925925926</v>
      </c>
      <c r="AF21" s="5" t="s">
        <v>18</v>
      </c>
      <c r="AG21" s="5" t="s">
        <v>18</v>
      </c>
      <c r="AH21" s="5" t="s">
        <v>27</v>
      </c>
      <c r="AI21" s="5">
        <v>7435632331</v>
      </c>
      <c r="AJ21" s="5" t="s">
        <v>370</v>
      </c>
      <c r="AK21" s="5" t="s">
        <v>340</v>
      </c>
      <c r="AL21" s="5" t="s">
        <v>29</v>
      </c>
      <c r="AM21" s="5" t="s">
        <v>76</v>
      </c>
      <c r="AN21" s="5">
        <v>7</v>
      </c>
      <c r="AO21" s="5" t="s">
        <v>24</v>
      </c>
      <c r="AP21" s="5" t="s">
        <v>25</v>
      </c>
      <c r="AQ21" s="5">
        <f t="shared" si="1"/>
        <v>287.80611111101462</v>
      </c>
      <c r="AR21" s="5">
        <f t="shared" si="2"/>
        <v>11.99</v>
      </c>
      <c r="AS21" s="5" t="str">
        <f t="shared" si="3"/>
        <v>9-12 days</v>
      </c>
      <c r="AT21" s="5" t="str">
        <f t="shared" ca="1" si="8"/>
        <v>STATUS-COMPLETE</v>
      </c>
      <c r="AU21" s="5" t="str">
        <f t="shared" ca="1" si="9"/>
        <v>STATUS-COMPLETE</v>
      </c>
      <c r="CG21" s="3" t="s">
        <v>392</v>
      </c>
      <c r="CH21" s="64">
        <v>166</v>
      </c>
      <c r="CI21" s="66">
        <v>0.73777777777777775</v>
      </c>
      <c r="CJ21" s="64">
        <v>59</v>
      </c>
      <c r="CK21" s="66">
        <v>0.26222222222222225</v>
      </c>
      <c r="CL21" s="64">
        <v>225</v>
      </c>
      <c r="CM21" s="66">
        <v>1</v>
      </c>
      <c r="EG21" s="2" t="s">
        <v>393</v>
      </c>
    </row>
    <row r="22" spans="1:155" x14ac:dyDescent="0.3">
      <c r="A22" s="5">
        <v>75462176039</v>
      </c>
      <c r="B22" s="6">
        <v>45907</v>
      </c>
      <c r="C22" s="11">
        <v>0.50415509259259261</v>
      </c>
      <c r="D22" s="5" t="s">
        <v>55</v>
      </c>
      <c r="E22" s="11">
        <v>45918</v>
      </c>
      <c r="F22" s="11">
        <v>0.43037037037037035</v>
      </c>
      <c r="G22" s="5" t="s">
        <v>18</v>
      </c>
      <c r="H22" s="5" t="s">
        <v>18</v>
      </c>
      <c r="I22" s="5" t="s">
        <v>49</v>
      </c>
      <c r="J22" s="5">
        <v>7498158588</v>
      </c>
      <c r="K22" s="5" t="s">
        <v>335</v>
      </c>
      <c r="L22" s="5" t="s">
        <v>54</v>
      </c>
      <c r="M22" s="5" t="s">
        <v>29</v>
      </c>
      <c r="N22" s="5" t="s">
        <v>42</v>
      </c>
      <c r="O22" s="5">
        <v>1</v>
      </c>
      <c r="P22" s="5" t="s">
        <v>24</v>
      </c>
      <c r="Q22" s="5" t="s">
        <v>25</v>
      </c>
      <c r="U22" s="5">
        <v>75535497187</v>
      </c>
      <c r="V22" s="11">
        <v>45874</v>
      </c>
      <c r="W22" s="11">
        <v>0.56921296296296298</v>
      </c>
      <c r="X22" s="5">
        <f t="shared" si="0"/>
        <v>8</v>
      </c>
      <c r="Y22" s="5">
        <f t="shared" si="4"/>
        <v>32</v>
      </c>
      <c r="Z22" s="5">
        <f t="shared" si="5"/>
        <v>5</v>
      </c>
      <c r="AA22" s="5">
        <f t="shared" si="6"/>
        <v>3</v>
      </c>
      <c r="AB22" s="5" t="str">
        <f t="shared" si="7"/>
        <v>13 - 14 hr</v>
      </c>
      <c r="AC22" s="5" t="s">
        <v>58</v>
      </c>
      <c r="AD22" s="11"/>
      <c r="AE22" s="11"/>
      <c r="AF22" s="5" t="s">
        <v>18</v>
      </c>
      <c r="AG22" s="5" t="s">
        <v>18</v>
      </c>
      <c r="AH22" s="5" t="s">
        <v>27</v>
      </c>
      <c r="AI22" s="5">
        <v>9355172948</v>
      </c>
      <c r="AJ22" s="5" t="s">
        <v>148</v>
      </c>
      <c r="AK22" s="5" t="s">
        <v>32</v>
      </c>
      <c r="AL22" s="5" t="s">
        <v>82</v>
      </c>
      <c r="AM22" s="5" t="s">
        <v>23</v>
      </c>
      <c r="AN22" s="5">
        <v>3</v>
      </c>
      <c r="AO22" s="5" t="s">
        <v>34</v>
      </c>
      <c r="AP22" s="5" t="s">
        <v>60</v>
      </c>
      <c r="AQ22" s="5" t="str">
        <f t="shared" si="1"/>
        <v>Issue_pending</v>
      </c>
      <c r="AR22" s="5" t="str">
        <f t="shared" si="2"/>
        <v>Issue_pending</v>
      </c>
      <c r="AS22" s="5" t="str">
        <f t="shared" si="3"/>
        <v>Issue_pending</v>
      </c>
      <c r="AT22" s="5">
        <f t="shared" ca="1" si="8"/>
        <v>56</v>
      </c>
      <c r="AU22" s="5" t="str">
        <f t="shared" ca="1" si="9"/>
        <v>&gt;20 days</v>
      </c>
      <c r="AZ22" s="2" t="s">
        <v>394</v>
      </c>
      <c r="BA22" s="2" t="s">
        <v>393</v>
      </c>
      <c r="EG22" t="s">
        <v>663</v>
      </c>
      <c r="EH22" t="s">
        <v>664</v>
      </c>
      <c r="EI22" t="s">
        <v>392</v>
      </c>
      <c r="EU22" s="2" t="s">
        <v>394</v>
      </c>
      <c r="EV22" s="2" t="s">
        <v>393</v>
      </c>
    </row>
    <row r="23" spans="1:155" x14ac:dyDescent="0.3">
      <c r="A23" s="5">
        <v>75462911855</v>
      </c>
      <c r="B23" s="6">
        <v>45871</v>
      </c>
      <c r="C23" s="11">
        <v>0.68983796296296296</v>
      </c>
      <c r="D23" s="5" t="s">
        <v>58</v>
      </c>
      <c r="E23" s="11">
        <v>45875</v>
      </c>
      <c r="F23" s="11">
        <v>0.41517361111111112</v>
      </c>
      <c r="G23" s="5" t="s">
        <v>18</v>
      </c>
      <c r="H23" s="5" t="s">
        <v>18</v>
      </c>
      <c r="I23" s="5" t="s">
        <v>49</v>
      </c>
      <c r="J23" s="5">
        <v>7999705716</v>
      </c>
      <c r="K23" s="5" t="s">
        <v>359</v>
      </c>
      <c r="L23" s="5" t="s">
        <v>85</v>
      </c>
      <c r="M23" s="5" t="s">
        <v>33</v>
      </c>
      <c r="N23" s="5" t="s">
        <v>86</v>
      </c>
      <c r="O23" s="5">
        <v>3</v>
      </c>
      <c r="P23" s="5" t="s">
        <v>24</v>
      </c>
      <c r="Q23" s="5" t="s">
        <v>25</v>
      </c>
      <c r="U23" s="5">
        <v>75777895080</v>
      </c>
      <c r="V23" s="11">
        <v>45874</v>
      </c>
      <c r="W23" s="11">
        <v>0.71133101851851854</v>
      </c>
      <c r="X23" s="5">
        <f t="shared" si="0"/>
        <v>8</v>
      </c>
      <c r="Y23" s="5">
        <f t="shared" si="4"/>
        <v>32</v>
      </c>
      <c r="Z23" s="5">
        <f t="shared" si="5"/>
        <v>5</v>
      </c>
      <c r="AA23" s="5">
        <f t="shared" si="6"/>
        <v>3</v>
      </c>
      <c r="AB23" s="5" t="str">
        <f t="shared" si="7"/>
        <v>17 - 18 hr</v>
      </c>
      <c r="AC23" s="5" t="s">
        <v>48</v>
      </c>
      <c r="AD23" s="11">
        <v>45885</v>
      </c>
      <c r="AE23" s="11">
        <v>0.57658564814814817</v>
      </c>
      <c r="AF23" s="5" t="s">
        <v>18</v>
      </c>
      <c r="AG23" s="5" t="s">
        <v>18</v>
      </c>
      <c r="AH23" s="5" t="s">
        <v>49</v>
      </c>
      <c r="AI23" s="5">
        <v>8940955281</v>
      </c>
      <c r="AJ23" s="5" t="s">
        <v>169</v>
      </c>
      <c r="AK23" s="5" t="s">
        <v>170</v>
      </c>
      <c r="AL23" s="5" t="s">
        <v>22</v>
      </c>
      <c r="AM23" s="5" t="s">
        <v>66</v>
      </c>
      <c r="AN23" s="5">
        <v>6</v>
      </c>
      <c r="AO23" s="5" t="s">
        <v>24</v>
      </c>
      <c r="AP23" s="5" t="s">
        <v>25</v>
      </c>
      <c r="AQ23" s="5">
        <f t="shared" si="1"/>
        <v>260.76611111109378</v>
      </c>
      <c r="AR23" s="5">
        <f t="shared" si="2"/>
        <v>10.87</v>
      </c>
      <c r="AS23" s="5" t="str">
        <f t="shared" si="3"/>
        <v>9-12 days</v>
      </c>
      <c r="AT23" s="5" t="str">
        <f t="shared" ca="1" si="8"/>
        <v>STATUS-COMPLETE</v>
      </c>
      <c r="AU23" s="5" t="str">
        <f t="shared" ca="1" si="9"/>
        <v>STATUS-COMPLETE</v>
      </c>
      <c r="AZ23" s="2" t="s">
        <v>391</v>
      </c>
      <c r="BA23" t="s">
        <v>663</v>
      </c>
      <c r="BB23" t="s">
        <v>664</v>
      </c>
      <c r="BC23" t="s">
        <v>392</v>
      </c>
      <c r="EF23" t="s">
        <v>394</v>
      </c>
      <c r="EG23" s="64">
        <v>40</v>
      </c>
      <c r="EH23" s="64">
        <v>19</v>
      </c>
      <c r="EI23" s="64">
        <v>59</v>
      </c>
      <c r="EU23" s="2" t="s">
        <v>391</v>
      </c>
      <c r="EV23" t="s">
        <v>663</v>
      </c>
      <c r="EW23" t="s">
        <v>664</v>
      </c>
      <c r="EX23" t="s">
        <v>392</v>
      </c>
    </row>
    <row r="24" spans="1:155" x14ac:dyDescent="0.3">
      <c r="A24" s="5">
        <v>75465015165</v>
      </c>
      <c r="B24" s="6">
        <v>45883</v>
      </c>
      <c r="C24" s="11">
        <v>0.63694444444444442</v>
      </c>
      <c r="D24" s="5" t="s">
        <v>17</v>
      </c>
      <c r="E24" s="11">
        <v>45887</v>
      </c>
      <c r="F24" s="11">
        <v>0.58799768518518514</v>
      </c>
      <c r="G24" s="5" t="s">
        <v>18</v>
      </c>
      <c r="H24" s="5" t="s">
        <v>18</v>
      </c>
      <c r="I24" s="5" t="s">
        <v>19</v>
      </c>
      <c r="J24" s="5">
        <v>8952996248</v>
      </c>
      <c r="K24" s="5" t="s">
        <v>138</v>
      </c>
      <c r="L24" s="5" t="s">
        <v>139</v>
      </c>
      <c r="M24" s="5" t="s">
        <v>33</v>
      </c>
      <c r="N24" s="5" t="s">
        <v>23</v>
      </c>
      <c r="O24" s="5">
        <v>7</v>
      </c>
      <c r="P24" s="5" t="s">
        <v>24</v>
      </c>
      <c r="Q24" s="5" t="s">
        <v>25</v>
      </c>
      <c r="U24" s="5">
        <v>75614179101</v>
      </c>
      <c r="V24" s="11">
        <v>45874</v>
      </c>
      <c r="W24" s="11">
        <v>0.38957175925925924</v>
      </c>
      <c r="X24" s="5">
        <f t="shared" si="0"/>
        <v>8</v>
      </c>
      <c r="Y24" s="5">
        <f t="shared" si="4"/>
        <v>32</v>
      </c>
      <c r="Z24" s="5">
        <f t="shared" si="5"/>
        <v>5</v>
      </c>
      <c r="AA24" s="5">
        <f t="shared" si="6"/>
        <v>3</v>
      </c>
      <c r="AB24" s="5" t="str">
        <f t="shared" si="7"/>
        <v>9 - 10 hr</v>
      </c>
      <c r="AC24" s="5" t="s">
        <v>30</v>
      </c>
      <c r="AD24" s="11">
        <v>45882</v>
      </c>
      <c r="AE24" s="11">
        <v>0.38763888888888887</v>
      </c>
      <c r="AF24" s="5" t="s">
        <v>18</v>
      </c>
      <c r="AG24" s="5" t="s">
        <v>18</v>
      </c>
      <c r="AH24" s="5" t="s">
        <v>36</v>
      </c>
      <c r="AI24" s="5">
        <v>9213555655</v>
      </c>
      <c r="AJ24" s="5" t="s">
        <v>196</v>
      </c>
      <c r="AK24" s="5" t="s">
        <v>197</v>
      </c>
      <c r="AL24" s="5" t="s">
        <v>22</v>
      </c>
      <c r="AM24" s="5" t="s">
        <v>39</v>
      </c>
      <c r="AN24" s="5">
        <v>4</v>
      </c>
      <c r="AO24" s="5" t="s">
        <v>24</v>
      </c>
      <c r="AP24" s="5" t="s">
        <v>25</v>
      </c>
      <c r="AQ24" s="5">
        <f t="shared" si="1"/>
        <v>191.95361111109378</v>
      </c>
      <c r="AR24" s="5">
        <f t="shared" si="2"/>
        <v>8</v>
      </c>
      <c r="AS24" s="5" t="str">
        <f t="shared" si="3"/>
        <v>5-8 days</v>
      </c>
      <c r="AT24" s="5" t="str">
        <f t="shared" ca="1" si="8"/>
        <v>STATUS-COMPLETE</v>
      </c>
      <c r="AU24" s="5" t="str">
        <f t="shared" ca="1" si="9"/>
        <v>STATUS-COMPLETE</v>
      </c>
      <c r="AZ24" s="3" t="s">
        <v>49</v>
      </c>
      <c r="BA24" s="64">
        <v>15</v>
      </c>
      <c r="BB24" s="64">
        <v>6</v>
      </c>
      <c r="BC24" s="64">
        <v>21</v>
      </c>
      <c r="EU24" s="3" t="s">
        <v>29</v>
      </c>
      <c r="EV24" s="64">
        <v>15</v>
      </c>
      <c r="EW24" s="64">
        <v>3</v>
      </c>
      <c r="EX24" s="64">
        <v>18</v>
      </c>
    </row>
    <row r="25" spans="1:155" x14ac:dyDescent="0.3">
      <c r="A25" s="5">
        <v>75467438668</v>
      </c>
      <c r="B25" s="6">
        <v>45889</v>
      </c>
      <c r="C25" s="11">
        <v>0.45413194444444444</v>
      </c>
      <c r="D25" s="5" t="s">
        <v>48</v>
      </c>
      <c r="E25" s="11">
        <v>45893</v>
      </c>
      <c r="F25" s="11">
        <v>0.65335648148148151</v>
      </c>
      <c r="G25" s="5" t="s">
        <v>18</v>
      </c>
      <c r="H25" s="5" t="s">
        <v>18</v>
      </c>
      <c r="I25" s="5" t="s">
        <v>27</v>
      </c>
      <c r="J25" s="5">
        <v>9562974666</v>
      </c>
      <c r="K25" s="5" t="s">
        <v>188</v>
      </c>
      <c r="L25" s="5" t="s">
        <v>189</v>
      </c>
      <c r="M25" s="5" t="s">
        <v>29</v>
      </c>
      <c r="N25" s="5" t="s">
        <v>76</v>
      </c>
      <c r="O25" s="5">
        <v>8</v>
      </c>
      <c r="P25" s="5" t="s">
        <v>24</v>
      </c>
      <c r="Q25" s="5" t="s">
        <v>25</v>
      </c>
      <c r="U25" s="5">
        <v>75757517705</v>
      </c>
      <c r="V25" s="11">
        <v>45874</v>
      </c>
      <c r="W25" s="11">
        <v>0.58194444444444449</v>
      </c>
      <c r="X25" s="5">
        <f t="shared" si="0"/>
        <v>8</v>
      </c>
      <c r="Y25" s="5">
        <f t="shared" si="4"/>
        <v>32</v>
      </c>
      <c r="Z25" s="5">
        <f t="shared" si="5"/>
        <v>5</v>
      </c>
      <c r="AA25" s="5">
        <f t="shared" si="6"/>
        <v>3</v>
      </c>
      <c r="AB25" s="5" t="str">
        <f t="shared" si="7"/>
        <v>13 - 14 hr</v>
      </c>
      <c r="AC25" s="5" t="s">
        <v>26</v>
      </c>
      <c r="AD25" s="11">
        <v>45884</v>
      </c>
      <c r="AE25" s="11">
        <v>0.71770833333333328</v>
      </c>
      <c r="AF25" s="5" t="s">
        <v>18</v>
      </c>
      <c r="AG25" s="5" t="s">
        <v>18</v>
      </c>
      <c r="AH25" s="5" t="s">
        <v>49</v>
      </c>
      <c r="AI25" s="5">
        <v>7816145550</v>
      </c>
      <c r="AJ25" s="5" t="s">
        <v>270</v>
      </c>
      <c r="AK25" s="5" t="s">
        <v>271</v>
      </c>
      <c r="AL25" s="5" t="s">
        <v>82</v>
      </c>
      <c r="AM25" s="5" t="s">
        <v>102</v>
      </c>
      <c r="AN25" s="5">
        <v>1</v>
      </c>
      <c r="AO25" s="5" t="s">
        <v>24</v>
      </c>
      <c r="AP25" s="5" t="s">
        <v>25</v>
      </c>
      <c r="AQ25" s="5">
        <f t="shared" si="1"/>
        <v>243.25833333330229</v>
      </c>
      <c r="AR25" s="5">
        <f t="shared" si="2"/>
        <v>10.14</v>
      </c>
      <c r="AS25" s="5" t="str">
        <f t="shared" si="3"/>
        <v>9-12 days</v>
      </c>
      <c r="AT25" s="5" t="str">
        <f t="shared" ca="1" si="8"/>
        <v>STATUS-COMPLETE</v>
      </c>
      <c r="AU25" s="5" t="str">
        <f t="shared" ca="1" si="9"/>
        <v>STATUS-COMPLETE</v>
      </c>
      <c r="AZ25" s="3" t="s">
        <v>27</v>
      </c>
      <c r="BA25" s="64">
        <v>14</v>
      </c>
      <c r="BB25" s="64">
        <v>4</v>
      </c>
      <c r="BC25" s="64">
        <v>18</v>
      </c>
      <c r="CH25" s="2" t="s">
        <v>393</v>
      </c>
      <c r="EU25" s="3" t="s">
        <v>22</v>
      </c>
      <c r="EV25" s="64">
        <v>10</v>
      </c>
      <c r="EW25" s="64">
        <v>7</v>
      </c>
      <c r="EX25" s="64">
        <v>17</v>
      </c>
    </row>
    <row r="26" spans="1:155" x14ac:dyDescent="0.3">
      <c r="A26" s="5">
        <v>75470772317</v>
      </c>
      <c r="B26" s="6">
        <v>45894</v>
      </c>
      <c r="C26" s="11">
        <v>0.5879050925925926</v>
      </c>
      <c r="D26" s="5" t="s">
        <v>55</v>
      </c>
      <c r="E26" s="11">
        <v>45900</v>
      </c>
      <c r="F26" s="11">
        <v>0.75266203703703705</v>
      </c>
      <c r="G26" s="5" t="s">
        <v>18</v>
      </c>
      <c r="H26" s="5" t="s">
        <v>18</v>
      </c>
      <c r="I26" s="5" t="s">
        <v>19</v>
      </c>
      <c r="J26" s="5">
        <v>8220401982</v>
      </c>
      <c r="K26" s="5" t="s">
        <v>175</v>
      </c>
      <c r="L26" s="5" t="s">
        <v>174</v>
      </c>
      <c r="M26" s="5" t="s">
        <v>33</v>
      </c>
      <c r="N26" s="5" t="s">
        <v>63</v>
      </c>
      <c r="O26" s="5">
        <v>10</v>
      </c>
      <c r="P26" s="5" t="s">
        <v>24</v>
      </c>
      <c r="Q26" s="5" t="s">
        <v>25</v>
      </c>
      <c r="U26" s="5">
        <v>75538288872</v>
      </c>
      <c r="V26" s="11">
        <v>45874</v>
      </c>
      <c r="W26" s="11">
        <v>0.45687499999999998</v>
      </c>
      <c r="X26" s="5">
        <f t="shared" si="0"/>
        <v>8</v>
      </c>
      <c r="Y26" s="5">
        <f t="shared" si="4"/>
        <v>32</v>
      </c>
      <c r="Z26" s="5">
        <f t="shared" si="5"/>
        <v>5</v>
      </c>
      <c r="AA26" s="5">
        <f t="shared" si="6"/>
        <v>3</v>
      </c>
      <c r="AB26" s="5" t="str">
        <f t="shared" si="7"/>
        <v>10 - 11 hr</v>
      </c>
      <c r="AC26" s="5" t="s">
        <v>78</v>
      </c>
      <c r="AD26" s="11">
        <v>45876</v>
      </c>
      <c r="AE26" s="11">
        <v>0.54005787037037034</v>
      </c>
      <c r="AF26" s="5" t="s">
        <v>18</v>
      </c>
      <c r="AG26" s="5" t="s">
        <v>18</v>
      </c>
      <c r="AH26" s="5" t="s">
        <v>27</v>
      </c>
      <c r="AI26" s="5">
        <v>7526252306</v>
      </c>
      <c r="AJ26" s="5" t="s">
        <v>354</v>
      </c>
      <c r="AK26" s="5" t="s">
        <v>220</v>
      </c>
      <c r="AL26" s="5" t="s">
        <v>29</v>
      </c>
      <c r="AM26" s="5" t="s">
        <v>203</v>
      </c>
      <c r="AN26" s="5">
        <v>1</v>
      </c>
      <c r="AO26" s="5" t="s">
        <v>24</v>
      </c>
      <c r="AP26" s="5" t="s">
        <v>25</v>
      </c>
      <c r="AQ26" s="5">
        <f t="shared" si="1"/>
        <v>49.996388888801448</v>
      </c>
      <c r="AR26" s="5">
        <f t="shared" si="2"/>
        <v>2.08</v>
      </c>
      <c r="AS26" s="5" t="str">
        <f t="shared" si="3"/>
        <v>1-4 days</v>
      </c>
      <c r="AT26" s="5" t="str">
        <f t="shared" ca="1" si="8"/>
        <v>STATUS-COMPLETE</v>
      </c>
      <c r="AU26" s="5" t="str">
        <f t="shared" ca="1" si="9"/>
        <v>STATUS-COMPLETE</v>
      </c>
      <c r="AZ26" s="3" t="s">
        <v>19</v>
      </c>
      <c r="BA26" s="64">
        <v>4</v>
      </c>
      <c r="BB26" s="64">
        <v>6</v>
      </c>
      <c r="BC26" s="64">
        <v>10</v>
      </c>
      <c r="CH26" t="s">
        <v>24</v>
      </c>
      <c r="CJ26" t="s">
        <v>34</v>
      </c>
      <c r="CL26" t="s">
        <v>679</v>
      </c>
      <c r="CM26" t="s">
        <v>677</v>
      </c>
      <c r="EU26" s="3" t="s">
        <v>33</v>
      </c>
      <c r="EV26" s="64">
        <v>7</v>
      </c>
      <c r="EW26" s="64">
        <v>8</v>
      </c>
      <c r="EX26" s="64">
        <v>15</v>
      </c>
    </row>
    <row r="27" spans="1:155" x14ac:dyDescent="0.3">
      <c r="A27" s="5">
        <v>75472980019</v>
      </c>
      <c r="B27" s="6">
        <v>45912</v>
      </c>
      <c r="C27" s="11">
        <v>0.83958333333333335</v>
      </c>
      <c r="D27" s="5" t="s">
        <v>26</v>
      </c>
      <c r="E27" s="11">
        <v>45913</v>
      </c>
      <c r="F27" s="11">
        <v>0.63116898148148148</v>
      </c>
      <c r="G27" s="5" t="s">
        <v>18</v>
      </c>
      <c r="H27" s="5" t="s">
        <v>18</v>
      </c>
      <c r="I27" s="5" t="s">
        <v>49</v>
      </c>
      <c r="J27" s="5">
        <v>7790479137</v>
      </c>
      <c r="K27" s="5" t="s">
        <v>276</v>
      </c>
      <c r="L27" s="5" t="s">
        <v>191</v>
      </c>
      <c r="M27" s="5" t="s">
        <v>82</v>
      </c>
      <c r="N27" s="5" t="s">
        <v>86</v>
      </c>
      <c r="O27" s="5">
        <v>6</v>
      </c>
      <c r="P27" s="5" t="s">
        <v>24</v>
      </c>
      <c r="Q27" s="5" t="s">
        <v>25</v>
      </c>
      <c r="U27" s="5">
        <v>75606978174</v>
      </c>
      <c r="V27" s="11">
        <v>45874</v>
      </c>
      <c r="W27" s="11">
        <v>0.53684027777777776</v>
      </c>
      <c r="X27" s="5">
        <f t="shared" si="0"/>
        <v>8</v>
      </c>
      <c r="Y27" s="5">
        <f t="shared" si="4"/>
        <v>32</v>
      </c>
      <c r="Z27" s="5">
        <f t="shared" si="5"/>
        <v>5</v>
      </c>
      <c r="AA27" s="5">
        <f t="shared" si="6"/>
        <v>3</v>
      </c>
      <c r="AB27" s="5" t="str">
        <f t="shared" si="7"/>
        <v>12 - 13 hr</v>
      </c>
      <c r="AC27" s="5" t="s">
        <v>26</v>
      </c>
      <c r="AD27" s="11">
        <v>45883</v>
      </c>
      <c r="AE27" s="11">
        <v>0.63112268518518522</v>
      </c>
      <c r="AF27" s="5" t="s">
        <v>18</v>
      </c>
      <c r="AG27" s="5" t="s">
        <v>18</v>
      </c>
      <c r="AH27" s="5" t="s">
        <v>49</v>
      </c>
      <c r="AI27" s="5">
        <v>7142039044</v>
      </c>
      <c r="AJ27" s="5" t="s">
        <v>385</v>
      </c>
      <c r="AK27" s="5" t="s">
        <v>41</v>
      </c>
      <c r="AL27" s="5" t="s">
        <v>22</v>
      </c>
      <c r="AM27" s="5" t="s">
        <v>42</v>
      </c>
      <c r="AN27" s="5">
        <v>6</v>
      </c>
      <c r="AO27" s="5" t="s">
        <v>24</v>
      </c>
      <c r="AP27" s="5" t="s">
        <v>25</v>
      </c>
      <c r="AQ27" s="5">
        <f t="shared" si="1"/>
        <v>218.26277777779615</v>
      </c>
      <c r="AR27" s="5">
        <f t="shared" si="2"/>
        <v>9.09</v>
      </c>
      <c r="AS27" s="5" t="str">
        <f t="shared" si="3"/>
        <v>9-12 days</v>
      </c>
      <c r="AT27" s="5" t="str">
        <f t="shared" ca="1" si="8"/>
        <v>STATUS-COMPLETE</v>
      </c>
      <c r="AU27" s="5" t="str">
        <f t="shared" ca="1" si="9"/>
        <v>STATUS-COMPLETE</v>
      </c>
      <c r="AZ27" s="3" t="s">
        <v>36</v>
      </c>
      <c r="BA27" s="64">
        <v>7</v>
      </c>
      <c r="BB27" s="64">
        <v>3</v>
      </c>
      <c r="BC27" s="64">
        <v>10</v>
      </c>
      <c r="CG27" s="2" t="s">
        <v>391</v>
      </c>
      <c r="CH27" t="s">
        <v>680</v>
      </c>
      <c r="CI27" t="s">
        <v>678</v>
      </c>
      <c r="CJ27" t="s">
        <v>680</v>
      </c>
      <c r="CK27" t="s">
        <v>678</v>
      </c>
      <c r="EU27" s="3" t="s">
        <v>82</v>
      </c>
      <c r="EV27" s="64">
        <v>8</v>
      </c>
      <c r="EW27" s="64">
        <v>1</v>
      </c>
      <c r="EX27" s="64">
        <v>9</v>
      </c>
    </row>
    <row r="28" spans="1:155" x14ac:dyDescent="0.3">
      <c r="A28" s="5">
        <v>75473456403</v>
      </c>
      <c r="B28" s="6">
        <v>45919</v>
      </c>
      <c r="C28" s="11">
        <v>0.73333333333333328</v>
      </c>
      <c r="D28" s="5" t="s">
        <v>58</v>
      </c>
      <c r="E28" s="11"/>
      <c r="F28" s="11"/>
      <c r="G28" s="5" t="s">
        <v>18</v>
      </c>
      <c r="H28" s="5" t="s">
        <v>18</v>
      </c>
      <c r="I28" s="5" t="s">
        <v>19</v>
      </c>
      <c r="J28" s="5">
        <v>9791815554</v>
      </c>
      <c r="K28" s="5" t="s">
        <v>328</v>
      </c>
      <c r="L28" s="5" t="s">
        <v>265</v>
      </c>
      <c r="M28" s="5" t="s">
        <v>82</v>
      </c>
      <c r="N28" s="5" t="s">
        <v>52</v>
      </c>
      <c r="O28" s="5">
        <v>4</v>
      </c>
      <c r="P28" s="5" t="s">
        <v>34</v>
      </c>
      <c r="Q28" s="5" t="s">
        <v>67</v>
      </c>
      <c r="U28" s="5">
        <v>75951208305</v>
      </c>
      <c r="V28" s="11">
        <v>45875</v>
      </c>
      <c r="W28" s="11">
        <v>0.4954513888888889</v>
      </c>
      <c r="X28" s="5">
        <f t="shared" si="0"/>
        <v>8</v>
      </c>
      <c r="Y28" s="5">
        <f t="shared" si="4"/>
        <v>32</v>
      </c>
      <c r="Z28" s="5">
        <f t="shared" si="5"/>
        <v>6</v>
      </c>
      <c r="AA28" s="5">
        <f t="shared" si="6"/>
        <v>4</v>
      </c>
      <c r="AB28" s="5" t="str">
        <f t="shared" si="7"/>
        <v>11 - 12 hr</v>
      </c>
      <c r="AC28" s="5" t="s">
        <v>17</v>
      </c>
      <c r="AD28" s="11"/>
      <c r="AE28" s="11"/>
      <c r="AF28" s="5" t="s">
        <v>18</v>
      </c>
      <c r="AG28" s="5" t="s">
        <v>18</v>
      </c>
      <c r="AH28" s="5" t="s">
        <v>49</v>
      </c>
      <c r="AI28" s="5">
        <v>7953645978</v>
      </c>
      <c r="AJ28" s="5" t="s">
        <v>183</v>
      </c>
      <c r="AK28" s="5" t="s">
        <v>184</v>
      </c>
      <c r="AL28" s="5" t="s">
        <v>29</v>
      </c>
      <c r="AM28" s="5" t="s">
        <v>86</v>
      </c>
      <c r="AN28" s="5">
        <v>4</v>
      </c>
      <c r="AO28" s="5" t="s">
        <v>34</v>
      </c>
      <c r="AP28" s="5" t="s">
        <v>60</v>
      </c>
      <c r="AQ28" s="5" t="str">
        <f t="shared" si="1"/>
        <v>Issue_pending</v>
      </c>
      <c r="AR28" s="5" t="str">
        <f t="shared" si="2"/>
        <v>Issue_pending</v>
      </c>
      <c r="AS28" s="5" t="str">
        <f t="shared" si="3"/>
        <v>Issue_pending</v>
      </c>
      <c r="AT28" s="5">
        <f t="shared" ca="1" si="8"/>
        <v>55</v>
      </c>
      <c r="AU28" s="5" t="str">
        <f t="shared" ca="1" si="9"/>
        <v>&gt;20 days</v>
      </c>
      <c r="AZ28" s="3" t="s">
        <v>392</v>
      </c>
      <c r="BA28" s="64">
        <v>40</v>
      </c>
      <c r="BB28" s="64">
        <v>19</v>
      </c>
      <c r="BC28" s="64">
        <v>59</v>
      </c>
      <c r="CG28" s="3" t="s">
        <v>27</v>
      </c>
      <c r="CH28" s="64">
        <v>62</v>
      </c>
      <c r="CI28" s="66">
        <v>0.77500000000000002</v>
      </c>
      <c r="CJ28" s="64">
        <v>18</v>
      </c>
      <c r="CK28" s="66">
        <v>0.22500000000000001</v>
      </c>
      <c r="CL28" s="64">
        <v>80</v>
      </c>
      <c r="CM28" s="66">
        <v>1</v>
      </c>
      <c r="EU28" s="3" t="s">
        <v>392</v>
      </c>
      <c r="EV28" s="64">
        <v>40</v>
      </c>
      <c r="EW28" s="64">
        <v>19</v>
      </c>
      <c r="EX28" s="64">
        <v>59</v>
      </c>
    </row>
    <row r="29" spans="1:155" x14ac:dyDescent="0.3">
      <c r="A29" s="5">
        <v>75476051319</v>
      </c>
      <c r="B29" s="6">
        <v>45891</v>
      </c>
      <c r="C29" s="11">
        <v>0.51672453703703702</v>
      </c>
      <c r="D29" s="5" t="s">
        <v>17</v>
      </c>
      <c r="E29" s="11"/>
      <c r="F29" s="11"/>
      <c r="G29" s="5" t="s">
        <v>18</v>
      </c>
      <c r="H29" s="5" t="s">
        <v>18</v>
      </c>
      <c r="I29" s="5" t="s">
        <v>36</v>
      </c>
      <c r="J29" s="5">
        <v>7443247229</v>
      </c>
      <c r="K29" s="5" t="s">
        <v>326</v>
      </c>
      <c r="L29" s="5" t="s">
        <v>327</v>
      </c>
      <c r="M29" s="5" t="s">
        <v>82</v>
      </c>
      <c r="N29" s="5" t="s">
        <v>94</v>
      </c>
      <c r="O29" s="5">
        <v>5</v>
      </c>
      <c r="P29" s="5" t="s">
        <v>34</v>
      </c>
      <c r="Q29" s="5" t="s">
        <v>60</v>
      </c>
      <c r="U29" s="5">
        <v>75972817675</v>
      </c>
      <c r="V29" s="11">
        <v>45875</v>
      </c>
      <c r="W29" s="11">
        <v>0.43936342592592592</v>
      </c>
      <c r="X29" s="5">
        <f t="shared" si="0"/>
        <v>8</v>
      </c>
      <c r="Y29" s="5">
        <f t="shared" si="4"/>
        <v>32</v>
      </c>
      <c r="Z29" s="5">
        <f t="shared" si="5"/>
        <v>6</v>
      </c>
      <c r="AA29" s="5">
        <f t="shared" si="6"/>
        <v>4</v>
      </c>
      <c r="AB29" s="5" t="str">
        <f t="shared" si="7"/>
        <v>10 - 11 hr</v>
      </c>
      <c r="AC29" s="5" t="s">
        <v>95</v>
      </c>
      <c r="AD29" s="11">
        <v>45886</v>
      </c>
      <c r="AE29" s="11">
        <v>0.72023148148148153</v>
      </c>
      <c r="AF29" s="5" t="s">
        <v>18</v>
      </c>
      <c r="AG29" s="5" t="s">
        <v>18</v>
      </c>
      <c r="AH29" s="5" t="s">
        <v>49</v>
      </c>
      <c r="AI29" s="5">
        <v>9541797909</v>
      </c>
      <c r="AJ29" s="5" t="s">
        <v>215</v>
      </c>
      <c r="AK29" s="5" t="s">
        <v>216</v>
      </c>
      <c r="AL29" s="5" t="s">
        <v>33</v>
      </c>
      <c r="AM29" s="5" t="s">
        <v>52</v>
      </c>
      <c r="AN29" s="5">
        <v>1</v>
      </c>
      <c r="AO29" s="5" t="s">
        <v>24</v>
      </c>
      <c r="AP29" s="5" t="s">
        <v>25</v>
      </c>
      <c r="AQ29" s="5">
        <f t="shared" si="1"/>
        <v>270.74083333328599</v>
      </c>
      <c r="AR29" s="5">
        <f t="shared" si="2"/>
        <v>11.28</v>
      </c>
      <c r="AS29" s="5" t="str">
        <f t="shared" si="3"/>
        <v>9-12 days</v>
      </c>
      <c r="AT29" s="5" t="str">
        <f t="shared" ca="1" si="8"/>
        <v>STATUS-COMPLETE</v>
      </c>
      <c r="AU29" s="5" t="str">
        <f t="shared" ca="1" si="9"/>
        <v>STATUS-COMPLETE</v>
      </c>
      <c r="CG29" s="3" t="s">
        <v>49</v>
      </c>
      <c r="CH29" s="64">
        <v>57</v>
      </c>
      <c r="CI29" s="66">
        <v>0.73076923076923073</v>
      </c>
      <c r="CJ29" s="64">
        <v>21</v>
      </c>
      <c r="CK29" s="66">
        <v>0.26923076923076922</v>
      </c>
      <c r="CL29" s="64">
        <v>78</v>
      </c>
      <c r="CM29" s="66">
        <v>1</v>
      </c>
    </row>
    <row r="30" spans="1:155" x14ac:dyDescent="0.3">
      <c r="A30" s="5">
        <v>75479419456</v>
      </c>
      <c r="B30" s="6">
        <v>45889</v>
      </c>
      <c r="C30" s="11">
        <v>0.69340277777777781</v>
      </c>
      <c r="D30" s="5" t="s">
        <v>58</v>
      </c>
      <c r="E30" s="11">
        <v>45900</v>
      </c>
      <c r="F30" s="11">
        <v>0.48989583333333331</v>
      </c>
      <c r="G30" s="5" t="s">
        <v>18</v>
      </c>
      <c r="H30" s="5" t="s">
        <v>18</v>
      </c>
      <c r="I30" s="5" t="s">
        <v>27</v>
      </c>
      <c r="J30" s="5">
        <v>8721444792</v>
      </c>
      <c r="K30" s="5" t="s">
        <v>295</v>
      </c>
      <c r="L30" s="5" t="s">
        <v>167</v>
      </c>
      <c r="M30" s="5" t="s">
        <v>29</v>
      </c>
      <c r="N30" s="5" t="s">
        <v>142</v>
      </c>
      <c r="O30" s="5">
        <v>7</v>
      </c>
      <c r="P30" s="5" t="s">
        <v>24</v>
      </c>
      <c r="Q30" s="5" t="s">
        <v>25</v>
      </c>
      <c r="U30" s="5">
        <v>75816396603</v>
      </c>
      <c r="V30" s="11">
        <v>45875</v>
      </c>
      <c r="W30" s="11">
        <v>0.44927083333333334</v>
      </c>
      <c r="X30" s="5">
        <f t="shared" si="0"/>
        <v>8</v>
      </c>
      <c r="Y30" s="5">
        <f t="shared" si="4"/>
        <v>32</v>
      </c>
      <c r="Z30" s="5">
        <f t="shared" si="5"/>
        <v>6</v>
      </c>
      <c r="AA30" s="5">
        <f t="shared" si="6"/>
        <v>4</v>
      </c>
      <c r="AB30" s="5" t="str">
        <f t="shared" si="7"/>
        <v>10 - 11 hr</v>
      </c>
      <c r="AC30" s="5" t="s">
        <v>46</v>
      </c>
      <c r="AD30" s="11">
        <v>45881</v>
      </c>
      <c r="AE30" s="11">
        <v>0.62520833333333337</v>
      </c>
      <c r="AF30" s="5" t="s">
        <v>18</v>
      </c>
      <c r="AG30" s="5" t="s">
        <v>18</v>
      </c>
      <c r="AH30" s="5" t="s">
        <v>27</v>
      </c>
      <c r="AI30" s="5">
        <v>8042571199</v>
      </c>
      <c r="AJ30" s="5" t="s">
        <v>289</v>
      </c>
      <c r="AK30" s="5" t="s">
        <v>290</v>
      </c>
      <c r="AL30" s="5" t="s">
        <v>29</v>
      </c>
      <c r="AM30" s="5" t="s">
        <v>142</v>
      </c>
      <c r="AN30" s="5">
        <v>3</v>
      </c>
      <c r="AO30" s="5" t="s">
        <v>24</v>
      </c>
      <c r="AP30" s="5" t="s">
        <v>25</v>
      </c>
      <c r="AQ30" s="5">
        <f t="shared" si="1"/>
        <v>148.22249999991618</v>
      </c>
      <c r="AR30" s="5">
        <f t="shared" si="2"/>
        <v>6.18</v>
      </c>
      <c r="AS30" s="5" t="str">
        <f t="shared" si="3"/>
        <v>5-8 days</v>
      </c>
      <c r="AT30" s="5" t="str">
        <f t="shared" ca="1" si="8"/>
        <v>STATUS-COMPLETE</v>
      </c>
      <c r="AU30" s="5" t="str">
        <f t="shared" ca="1" si="9"/>
        <v>STATUS-COMPLETE</v>
      </c>
      <c r="CG30" s="3" t="s">
        <v>36</v>
      </c>
      <c r="CH30" s="64">
        <v>27</v>
      </c>
      <c r="CI30" s="66">
        <v>0.72972972972972971</v>
      </c>
      <c r="CJ30" s="64">
        <v>10</v>
      </c>
      <c r="CK30" s="66">
        <v>0.27027027027027029</v>
      </c>
      <c r="CL30" s="64">
        <v>37</v>
      </c>
      <c r="CM30" s="66">
        <v>1</v>
      </c>
      <c r="EU30" s="2" t="s">
        <v>391</v>
      </c>
      <c r="EV30" t="s">
        <v>503</v>
      </c>
    </row>
    <row r="31" spans="1:155" x14ac:dyDescent="0.3">
      <c r="A31" s="5">
        <v>75480346223</v>
      </c>
      <c r="B31" s="6">
        <v>45899</v>
      </c>
      <c r="C31" s="11">
        <v>0.70157407407407413</v>
      </c>
      <c r="D31" s="5" t="s">
        <v>78</v>
      </c>
      <c r="E31" s="11">
        <v>45902</v>
      </c>
      <c r="F31" s="11">
        <v>0.66366898148148146</v>
      </c>
      <c r="G31" s="5" t="s">
        <v>18</v>
      </c>
      <c r="H31" s="5" t="s">
        <v>18</v>
      </c>
      <c r="I31" s="5" t="s">
        <v>27</v>
      </c>
      <c r="J31" s="5">
        <v>9676878743</v>
      </c>
      <c r="K31" s="5" t="s">
        <v>118</v>
      </c>
      <c r="L31" s="5" t="s">
        <v>119</v>
      </c>
      <c r="M31" s="5" t="s">
        <v>82</v>
      </c>
      <c r="N31" s="5" t="s">
        <v>116</v>
      </c>
      <c r="O31" s="5">
        <v>7</v>
      </c>
      <c r="P31" s="5" t="s">
        <v>24</v>
      </c>
      <c r="Q31" s="5" t="s">
        <v>25</v>
      </c>
      <c r="U31" s="5">
        <v>75407333788</v>
      </c>
      <c r="V31" s="11">
        <v>45876</v>
      </c>
      <c r="W31" s="11">
        <v>0.55850694444444449</v>
      </c>
      <c r="X31" s="5">
        <f t="shared" si="0"/>
        <v>8</v>
      </c>
      <c r="Y31" s="5">
        <f t="shared" si="4"/>
        <v>32</v>
      </c>
      <c r="Z31" s="5">
        <f t="shared" si="5"/>
        <v>7</v>
      </c>
      <c r="AA31" s="5">
        <f t="shared" si="6"/>
        <v>5</v>
      </c>
      <c r="AB31" s="5" t="str">
        <f t="shared" si="7"/>
        <v>13 - 14 hr</v>
      </c>
      <c r="AC31" s="5" t="s">
        <v>48</v>
      </c>
      <c r="AD31" s="11">
        <v>45879</v>
      </c>
      <c r="AE31" s="11">
        <v>0.68123842592592587</v>
      </c>
      <c r="AF31" s="5" t="s">
        <v>18</v>
      </c>
      <c r="AG31" s="5" t="s">
        <v>18</v>
      </c>
      <c r="AH31" s="5" t="s">
        <v>49</v>
      </c>
      <c r="AI31" s="5">
        <v>8146731886</v>
      </c>
      <c r="AJ31" s="5" t="s">
        <v>249</v>
      </c>
      <c r="AK31" s="5" t="s">
        <v>85</v>
      </c>
      <c r="AL31" s="5" t="s">
        <v>82</v>
      </c>
      <c r="AM31" s="5" t="s">
        <v>86</v>
      </c>
      <c r="AN31" s="5">
        <v>1</v>
      </c>
      <c r="AO31" s="5" t="s">
        <v>24</v>
      </c>
      <c r="AP31" s="5" t="s">
        <v>25</v>
      </c>
      <c r="AQ31" s="5">
        <f t="shared" si="1"/>
        <v>74.945555555575993</v>
      </c>
      <c r="AR31" s="5">
        <f t="shared" si="2"/>
        <v>3.12</v>
      </c>
      <c r="AS31" s="5" t="str">
        <f t="shared" si="3"/>
        <v>1-4 days</v>
      </c>
      <c r="AT31" s="5" t="str">
        <f t="shared" ca="1" si="8"/>
        <v>STATUS-COMPLETE</v>
      </c>
      <c r="AU31" s="5" t="str">
        <f t="shared" ca="1" si="9"/>
        <v>STATUS-COMPLETE</v>
      </c>
      <c r="AZ31" s="2" t="s">
        <v>391</v>
      </c>
      <c r="BA31" t="s">
        <v>503</v>
      </c>
      <c r="CG31" s="3" t="s">
        <v>19</v>
      </c>
      <c r="CH31" s="64">
        <v>20</v>
      </c>
      <c r="CI31" s="66">
        <v>0.66666666666666663</v>
      </c>
      <c r="CJ31" s="64">
        <v>10</v>
      </c>
      <c r="CK31" s="66">
        <v>0.33333333333333331</v>
      </c>
      <c r="CL31" s="64">
        <v>30</v>
      </c>
      <c r="CM31" s="66">
        <v>1</v>
      </c>
      <c r="EU31" s="3" t="s">
        <v>33</v>
      </c>
      <c r="EV31" s="12">
        <v>7.1947222222222216</v>
      </c>
    </row>
    <row r="32" spans="1:155" x14ac:dyDescent="0.3">
      <c r="A32" s="5">
        <v>75485068029</v>
      </c>
      <c r="B32" s="6">
        <v>45900</v>
      </c>
      <c r="C32" s="11">
        <v>0.38626157407407408</v>
      </c>
      <c r="D32" s="5" t="s">
        <v>95</v>
      </c>
      <c r="E32" s="11">
        <v>45903</v>
      </c>
      <c r="F32" s="11">
        <v>0.68656249999999996</v>
      </c>
      <c r="G32" s="5" t="s">
        <v>18</v>
      </c>
      <c r="H32" s="5" t="s">
        <v>18</v>
      </c>
      <c r="I32" s="5" t="s">
        <v>49</v>
      </c>
      <c r="J32" s="5">
        <v>9357096258</v>
      </c>
      <c r="K32" s="5" t="s">
        <v>186</v>
      </c>
      <c r="L32" s="5" t="s">
        <v>187</v>
      </c>
      <c r="M32" s="5" t="s">
        <v>22</v>
      </c>
      <c r="N32" s="5" t="s">
        <v>52</v>
      </c>
      <c r="O32" s="5">
        <v>3</v>
      </c>
      <c r="P32" s="5" t="s">
        <v>24</v>
      </c>
      <c r="Q32" s="5" t="s">
        <v>25</v>
      </c>
      <c r="U32" s="5">
        <v>75743847870</v>
      </c>
      <c r="V32" s="11">
        <v>45876</v>
      </c>
      <c r="W32" s="11">
        <v>0.51620370370370372</v>
      </c>
      <c r="X32" s="5">
        <f t="shared" si="0"/>
        <v>8</v>
      </c>
      <c r="Y32" s="5">
        <f t="shared" si="4"/>
        <v>32</v>
      </c>
      <c r="Z32" s="5">
        <f t="shared" si="5"/>
        <v>7</v>
      </c>
      <c r="AA32" s="5">
        <f t="shared" si="6"/>
        <v>5</v>
      </c>
      <c r="AB32" s="5" t="str">
        <f t="shared" si="7"/>
        <v>12 - 13 hr</v>
      </c>
      <c r="AC32" s="5" t="s">
        <v>55</v>
      </c>
      <c r="AD32" s="11"/>
      <c r="AE32" s="11"/>
      <c r="AF32" s="5" t="s">
        <v>18</v>
      </c>
      <c r="AG32" s="5" t="s">
        <v>18</v>
      </c>
      <c r="AH32" s="5" t="s">
        <v>49</v>
      </c>
      <c r="AI32" s="5">
        <v>7196346343</v>
      </c>
      <c r="AJ32" s="5" t="s">
        <v>273</v>
      </c>
      <c r="AK32" s="5" t="s">
        <v>159</v>
      </c>
      <c r="AL32" s="5" t="s">
        <v>29</v>
      </c>
      <c r="AM32" s="5" t="s">
        <v>102</v>
      </c>
      <c r="AN32" s="5">
        <v>5</v>
      </c>
      <c r="AO32" s="5" t="s">
        <v>34</v>
      </c>
      <c r="AP32" s="5" t="s">
        <v>35</v>
      </c>
      <c r="AQ32" s="5" t="str">
        <f t="shared" si="1"/>
        <v>Issue_pending</v>
      </c>
      <c r="AR32" s="5" t="str">
        <f t="shared" si="2"/>
        <v>Issue_pending</v>
      </c>
      <c r="AS32" s="5" t="str">
        <f t="shared" si="3"/>
        <v>Issue_pending</v>
      </c>
      <c r="AT32" s="5">
        <f t="shared" ca="1" si="8"/>
        <v>54</v>
      </c>
      <c r="AU32" s="5" t="str">
        <f t="shared" ca="1" si="9"/>
        <v>&gt;20 days</v>
      </c>
      <c r="AZ32" s="3" t="s">
        <v>36</v>
      </c>
      <c r="BA32" s="12">
        <v>7.4930769230769236</v>
      </c>
      <c r="CG32" s="3" t="s">
        <v>392</v>
      </c>
      <c r="CH32" s="64">
        <v>166</v>
      </c>
      <c r="CI32" s="66">
        <v>0.73777777777777775</v>
      </c>
      <c r="CJ32" s="64">
        <v>59</v>
      </c>
      <c r="CK32" s="66">
        <v>0.26222222222222225</v>
      </c>
      <c r="CL32" s="64">
        <v>225</v>
      </c>
      <c r="CM32" s="66">
        <v>1</v>
      </c>
      <c r="EU32" s="3" t="s">
        <v>82</v>
      </c>
      <c r="EV32" s="12">
        <v>6.897368421052632</v>
      </c>
    </row>
    <row r="33" spans="1:152" x14ac:dyDescent="0.3">
      <c r="A33" s="5">
        <v>75488087644</v>
      </c>
      <c r="B33" s="6">
        <v>45888</v>
      </c>
      <c r="C33" s="11">
        <v>0.54819444444444443</v>
      </c>
      <c r="D33" s="5" t="s">
        <v>95</v>
      </c>
      <c r="E33" s="11"/>
      <c r="F33" s="11"/>
      <c r="G33" s="5" t="s">
        <v>18</v>
      </c>
      <c r="H33" s="5" t="s">
        <v>18</v>
      </c>
      <c r="I33" s="5" t="s">
        <v>27</v>
      </c>
      <c r="J33" s="5">
        <v>8673413661</v>
      </c>
      <c r="K33" s="5" t="s">
        <v>286</v>
      </c>
      <c r="L33" s="5" t="s">
        <v>287</v>
      </c>
      <c r="M33" s="5" t="s">
        <v>22</v>
      </c>
      <c r="N33" s="5" t="s">
        <v>203</v>
      </c>
      <c r="O33" s="5">
        <v>3</v>
      </c>
      <c r="P33" s="5" t="s">
        <v>34</v>
      </c>
      <c r="Q33" s="5" t="s">
        <v>35</v>
      </c>
      <c r="U33" s="5">
        <v>75448766522</v>
      </c>
      <c r="V33" s="11">
        <v>45877</v>
      </c>
      <c r="W33" s="11">
        <v>0.51780092592592597</v>
      </c>
      <c r="X33" s="5">
        <f t="shared" si="0"/>
        <v>8</v>
      </c>
      <c r="Y33" s="5">
        <f t="shared" si="4"/>
        <v>32</v>
      </c>
      <c r="Z33" s="5">
        <f t="shared" si="5"/>
        <v>8</v>
      </c>
      <c r="AA33" s="5">
        <f t="shared" si="6"/>
        <v>6</v>
      </c>
      <c r="AB33" s="5" t="str">
        <f t="shared" si="7"/>
        <v>12 - 13 hr</v>
      </c>
      <c r="AC33" s="5" t="s">
        <v>43</v>
      </c>
      <c r="AD33" s="11">
        <v>45879</v>
      </c>
      <c r="AE33" s="11">
        <v>0.57202546296296297</v>
      </c>
      <c r="AF33" s="5" t="s">
        <v>18</v>
      </c>
      <c r="AG33" s="5" t="s">
        <v>18</v>
      </c>
      <c r="AH33" s="5" t="s">
        <v>19</v>
      </c>
      <c r="AI33" s="5">
        <v>7033015788</v>
      </c>
      <c r="AJ33" s="5" t="s">
        <v>160</v>
      </c>
      <c r="AK33" s="5" t="s">
        <v>139</v>
      </c>
      <c r="AL33" s="5" t="s">
        <v>29</v>
      </c>
      <c r="AM33" s="5" t="s">
        <v>23</v>
      </c>
      <c r="AN33" s="5">
        <v>1</v>
      </c>
      <c r="AO33" s="5" t="s">
        <v>24</v>
      </c>
      <c r="AP33" s="5" t="s">
        <v>25</v>
      </c>
      <c r="AQ33" s="5">
        <f t="shared" si="1"/>
        <v>49.301388888910878</v>
      </c>
      <c r="AR33" s="5">
        <f t="shared" si="2"/>
        <v>2.0499999999999998</v>
      </c>
      <c r="AS33" s="5" t="str">
        <f t="shared" si="3"/>
        <v>1-4 days</v>
      </c>
      <c r="AT33" s="5" t="str">
        <f t="shared" ca="1" si="8"/>
        <v>STATUS-COMPLETE</v>
      </c>
      <c r="AU33" s="5" t="str">
        <f t="shared" ca="1" si="9"/>
        <v>STATUS-COMPLETE</v>
      </c>
      <c r="AZ33" s="3" t="s">
        <v>49</v>
      </c>
      <c r="BA33" s="12">
        <v>6.8988679245283029</v>
      </c>
      <c r="EU33" s="3" t="s">
        <v>29</v>
      </c>
      <c r="EV33" s="12">
        <v>6.871363636363637</v>
      </c>
    </row>
    <row r="34" spans="1:152" x14ac:dyDescent="0.3">
      <c r="A34" s="5">
        <v>75491926217</v>
      </c>
      <c r="B34" s="6">
        <v>45891</v>
      </c>
      <c r="C34" s="11">
        <v>0.53224537037037034</v>
      </c>
      <c r="D34" s="5" t="s">
        <v>48</v>
      </c>
      <c r="E34" s="11">
        <v>45901</v>
      </c>
      <c r="F34" s="11">
        <v>0.56597222222222221</v>
      </c>
      <c r="G34" s="5" t="s">
        <v>18</v>
      </c>
      <c r="H34" s="5" t="s">
        <v>18</v>
      </c>
      <c r="I34" s="5" t="s">
        <v>19</v>
      </c>
      <c r="J34" s="5">
        <v>9384463652</v>
      </c>
      <c r="K34" s="5" t="s">
        <v>81</v>
      </c>
      <c r="L34" s="5" t="s">
        <v>62</v>
      </c>
      <c r="M34" s="5" t="s">
        <v>82</v>
      </c>
      <c r="N34" s="5" t="s">
        <v>63</v>
      </c>
      <c r="O34" s="5">
        <v>5</v>
      </c>
      <c r="P34" s="5" t="s">
        <v>24</v>
      </c>
      <c r="Q34" s="5" t="s">
        <v>25</v>
      </c>
      <c r="U34" s="5">
        <v>75661899532</v>
      </c>
      <c r="V34" s="11">
        <v>45877</v>
      </c>
      <c r="W34" s="11">
        <v>0.71637731481481481</v>
      </c>
      <c r="X34" s="5">
        <f t="shared" si="0"/>
        <v>8</v>
      </c>
      <c r="Y34" s="5">
        <f t="shared" si="4"/>
        <v>32</v>
      </c>
      <c r="Z34" s="5">
        <f t="shared" si="5"/>
        <v>8</v>
      </c>
      <c r="AA34" s="5">
        <f t="shared" si="6"/>
        <v>6</v>
      </c>
      <c r="AB34" s="5" t="str">
        <f t="shared" si="7"/>
        <v>17 - 18 hr</v>
      </c>
      <c r="AC34" s="5" t="s">
        <v>95</v>
      </c>
      <c r="AD34" s="11">
        <v>45883</v>
      </c>
      <c r="AE34" s="11">
        <v>0.44711805555555556</v>
      </c>
      <c r="AF34" s="5" t="s">
        <v>18</v>
      </c>
      <c r="AG34" s="5" t="s">
        <v>18</v>
      </c>
      <c r="AH34" s="5" t="s">
        <v>27</v>
      </c>
      <c r="AI34" s="5">
        <v>8421589752</v>
      </c>
      <c r="AJ34" s="5" t="s">
        <v>302</v>
      </c>
      <c r="AK34" s="5" t="s">
        <v>303</v>
      </c>
      <c r="AL34" s="5" t="s">
        <v>82</v>
      </c>
      <c r="AM34" s="5" t="s">
        <v>142</v>
      </c>
      <c r="AN34" s="5">
        <v>4</v>
      </c>
      <c r="AO34" s="5" t="s">
        <v>24</v>
      </c>
      <c r="AP34" s="5" t="s">
        <v>25</v>
      </c>
      <c r="AQ34" s="5">
        <f t="shared" si="1"/>
        <v>137.53777777781943</v>
      </c>
      <c r="AR34" s="5">
        <f t="shared" si="2"/>
        <v>5.73</v>
      </c>
      <c r="AS34" s="5" t="str">
        <f t="shared" si="3"/>
        <v>5-8 days</v>
      </c>
      <c r="AT34" s="5" t="str">
        <f t="shared" ca="1" si="8"/>
        <v>STATUS-COMPLETE</v>
      </c>
      <c r="AU34" s="5" t="str">
        <f t="shared" ca="1" si="9"/>
        <v>STATUS-COMPLETE</v>
      </c>
      <c r="AZ34" s="3" t="s">
        <v>27</v>
      </c>
      <c r="BA34" s="12">
        <v>6.4669999999999996</v>
      </c>
      <c r="CH34" s="2" t="s">
        <v>393</v>
      </c>
      <c r="EU34" s="3" t="s">
        <v>22</v>
      </c>
      <c r="EV34" s="12">
        <v>6.0547500000000003</v>
      </c>
    </row>
    <row r="35" spans="1:152" x14ac:dyDescent="0.3">
      <c r="A35" s="5">
        <v>75492027526</v>
      </c>
      <c r="B35" s="6">
        <v>45886</v>
      </c>
      <c r="C35" s="11">
        <v>0.80753472222222222</v>
      </c>
      <c r="D35" s="5" t="s">
        <v>46</v>
      </c>
      <c r="E35" s="11">
        <v>45891</v>
      </c>
      <c r="F35" s="11">
        <v>0.75218750000000001</v>
      </c>
      <c r="G35" s="5" t="s">
        <v>18</v>
      </c>
      <c r="H35" s="5" t="s">
        <v>18</v>
      </c>
      <c r="I35" s="5" t="s">
        <v>19</v>
      </c>
      <c r="J35" s="5">
        <v>8778059107</v>
      </c>
      <c r="K35" s="5" t="s">
        <v>377</v>
      </c>
      <c r="L35" s="5" t="s">
        <v>324</v>
      </c>
      <c r="M35" s="5" t="s">
        <v>22</v>
      </c>
      <c r="N35" s="5" t="s">
        <v>63</v>
      </c>
      <c r="O35" s="5">
        <v>3</v>
      </c>
      <c r="P35" s="5" t="s">
        <v>24</v>
      </c>
      <c r="Q35" s="5" t="s">
        <v>25</v>
      </c>
      <c r="U35" s="5">
        <v>75679340713</v>
      </c>
      <c r="V35" s="11">
        <v>45878</v>
      </c>
      <c r="W35" s="11">
        <v>0.6390393518518519</v>
      </c>
      <c r="X35" s="5">
        <f t="shared" si="0"/>
        <v>8</v>
      </c>
      <c r="Y35" s="5">
        <f t="shared" si="4"/>
        <v>32</v>
      </c>
      <c r="Z35" s="5">
        <f t="shared" si="5"/>
        <v>9</v>
      </c>
      <c r="AA35" s="5">
        <f t="shared" si="6"/>
        <v>7</v>
      </c>
      <c r="AB35" s="5" t="str">
        <f t="shared" si="7"/>
        <v>15 - 16 hr</v>
      </c>
      <c r="AC35" s="5" t="s">
        <v>48</v>
      </c>
      <c r="AD35" s="11"/>
      <c r="AE35" s="11"/>
      <c r="AF35" s="5" t="s">
        <v>18</v>
      </c>
      <c r="AG35" s="5" t="s">
        <v>18</v>
      </c>
      <c r="AH35" s="5" t="s">
        <v>49</v>
      </c>
      <c r="AI35" s="5">
        <v>8403792057</v>
      </c>
      <c r="AJ35" s="5" t="s">
        <v>64</v>
      </c>
      <c r="AK35" s="5" t="s">
        <v>65</v>
      </c>
      <c r="AL35" s="5" t="s">
        <v>22</v>
      </c>
      <c r="AM35" s="5" t="s">
        <v>66</v>
      </c>
      <c r="AN35" s="5">
        <v>7</v>
      </c>
      <c r="AO35" s="5" t="s">
        <v>34</v>
      </c>
      <c r="AP35" s="5" t="s">
        <v>67</v>
      </c>
      <c r="AQ35" s="5" t="str">
        <f t="shared" si="1"/>
        <v>Issue_pending</v>
      </c>
      <c r="AR35" s="5" t="str">
        <f t="shared" si="2"/>
        <v>Issue_pending</v>
      </c>
      <c r="AS35" s="5" t="str">
        <f t="shared" si="3"/>
        <v>Issue_pending</v>
      </c>
      <c r="AT35" s="5">
        <f t="shared" ca="1" si="8"/>
        <v>52</v>
      </c>
      <c r="AU35" s="5" t="str">
        <f t="shared" ca="1" si="9"/>
        <v>&gt;20 days</v>
      </c>
      <c r="AZ35" s="3" t="s">
        <v>19</v>
      </c>
      <c r="BA35" s="12">
        <v>6.1663157894736838</v>
      </c>
      <c r="CH35" t="s">
        <v>24</v>
      </c>
      <c r="CJ35" t="s">
        <v>34</v>
      </c>
      <c r="CL35" t="s">
        <v>679</v>
      </c>
      <c r="CM35" t="s">
        <v>677</v>
      </c>
      <c r="EU35" s="3" t="s">
        <v>392</v>
      </c>
      <c r="EV35" s="64">
        <v>6.7445569620253201</v>
      </c>
    </row>
    <row r="36" spans="1:152" x14ac:dyDescent="0.3">
      <c r="A36" s="5">
        <v>75500273738</v>
      </c>
      <c r="B36" s="6">
        <v>45913</v>
      </c>
      <c r="C36" s="11">
        <v>0.53008101851851852</v>
      </c>
      <c r="D36" s="5" t="s">
        <v>26</v>
      </c>
      <c r="E36" s="11">
        <v>45921</v>
      </c>
      <c r="F36" s="11">
        <v>0.48755787037037035</v>
      </c>
      <c r="G36" s="5" t="s">
        <v>18</v>
      </c>
      <c r="H36" s="5" t="s">
        <v>18</v>
      </c>
      <c r="I36" s="5" t="s">
        <v>19</v>
      </c>
      <c r="J36" s="5">
        <v>7855256552</v>
      </c>
      <c r="K36" s="5" t="s">
        <v>40</v>
      </c>
      <c r="L36" s="5" t="s">
        <v>41</v>
      </c>
      <c r="M36" s="5" t="s">
        <v>33</v>
      </c>
      <c r="N36" s="5" t="s">
        <v>42</v>
      </c>
      <c r="O36" s="5">
        <v>8</v>
      </c>
      <c r="P36" s="5" t="s">
        <v>24</v>
      </c>
      <c r="Q36" s="5" t="s">
        <v>25</v>
      </c>
      <c r="U36" s="5">
        <v>75945179180</v>
      </c>
      <c r="V36" s="11">
        <v>45878</v>
      </c>
      <c r="W36" s="11">
        <v>0.57777777777777772</v>
      </c>
      <c r="X36" s="5">
        <f t="shared" si="0"/>
        <v>8</v>
      </c>
      <c r="Y36" s="5">
        <f t="shared" si="4"/>
        <v>32</v>
      </c>
      <c r="Z36" s="5">
        <f t="shared" si="5"/>
        <v>9</v>
      </c>
      <c r="AA36" s="5">
        <f t="shared" si="6"/>
        <v>7</v>
      </c>
      <c r="AB36" s="5" t="str">
        <f t="shared" si="7"/>
        <v>13 - 14 hr</v>
      </c>
      <c r="AC36" s="5" t="s">
        <v>30</v>
      </c>
      <c r="AD36" s="11"/>
      <c r="AE36" s="11"/>
      <c r="AF36" s="5" t="s">
        <v>18</v>
      </c>
      <c r="AG36" s="5" t="s">
        <v>18</v>
      </c>
      <c r="AH36" s="5" t="s">
        <v>19</v>
      </c>
      <c r="AI36" s="5">
        <v>8282287615</v>
      </c>
      <c r="AJ36" s="5" t="s">
        <v>112</v>
      </c>
      <c r="AK36" s="5" t="s">
        <v>113</v>
      </c>
      <c r="AL36" s="5" t="s">
        <v>29</v>
      </c>
      <c r="AM36" s="5" t="s">
        <v>23</v>
      </c>
      <c r="AN36" s="5">
        <v>3</v>
      </c>
      <c r="AO36" s="5" t="s">
        <v>34</v>
      </c>
      <c r="AP36" s="5" t="s">
        <v>60</v>
      </c>
      <c r="AQ36" s="5" t="str">
        <f t="shared" si="1"/>
        <v>Issue_pending</v>
      </c>
      <c r="AR36" s="5" t="str">
        <f t="shared" si="2"/>
        <v>Issue_pending</v>
      </c>
      <c r="AS36" s="5" t="str">
        <f t="shared" si="3"/>
        <v>Issue_pending</v>
      </c>
      <c r="AT36" s="5">
        <f t="shared" ca="1" si="8"/>
        <v>52</v>
      </c>
      <c r="AU36" s="5" t="str">
        <f t="shared" ca="1" si="9"/>
        <v>&gt;20 days</v>
      </c>
      <c r="AZ36" s="3" t="s">
        <v>392</v>
      </c>
      <c r="BA36" s="64">
        <v>6.7445569620253174</v>
      </c>
      <c r="CG36" s="2" t="s">
        <v>391</v>
      </c>
      <c r="CH36" t="s">
        <v>680</v>
      </c>
      <c r="CI36" t="s">
        <v>678</v>
      </c>
      <c r="CJ36" t="s">
        <v>680</v>
      </c>
      <c r="CK36" t="s">
        <v>678</v>
      </c>
    </row>
    <row r="37" spans="1:152" x14ac:dyDescent="0.3">
      <c r="A37" s="5">
        <v>75504821934</v>
      </c>
      <c r="B37" s="6">
        <v>45891</v>
      </c>
      <c r="C37" s="11">
        <v>0.69912037037037034</v>
      </c>
      <c r="D37" s="5" t="s">
        <v>48</v>
      </c>
      <c r="E37" s="11">
        <v>45895</v>
      </c>
      <c r="F37" s="11">
        <v>0.72942129629629626</v>
      </c>
      <c r="G37" s="5" t="s">
        <v>18</v>
      </c>
      <c r="H37" s="5" t="s">
        <v>18</v>
      </c>
      <c r="I37" s="5" t="s">
        <v>27</v>
      </c>
      <c r="J37" s="5">
        <v>8369705770</v>
      </c>
      <c r="K37" s="5" t="s">
        <v>300</v>
      </c>
      <c r="L37" s="5" t="s">
        <v>301</v>
      </c>
      <c r="M37" s="5" t="s">
        <v>29</v>
      </c>
      <c r="N37" s="5" t="s">
        <v>142</v>
      </c>
      <c r="O37" s="5">
        <v>8</v>
      </c>
      <c r="P37" s="5" t="s">
        <v>24</v>
      </c>
      <c r="Q37" s="5" t="s">
        <v>25</v>
      </c>
      <c r="U37" s="5">
        <v>75845478870</v>
      </c>
      <c r="V37" s="11">
        <v>45878</v>
      </c>
      <c r="W37" s="11">
        <v>0.79644675925925923</v>
      </c>
      <c r="X37" s="5">
        <f t="shared" si="0"/>
        <v>8</v>
      </c>
      <c r="Y37" s="5">
        <f t="shared" si="4"/>
        <v>32</v>
      </c>
      <c r="Z37" s="5">
        <f t="shared" si="5"/>
        <v>9</v>
      </c>
      <c r="AA37" s="5">
        <f t="shared" si="6"/>
        <v>7</v>
      </c>
      <c r="AB37" s="5" t="str">
        <f t="shared" si="7"/>
        <v>19 - 20 hr</v>
      </c>
      <c r="AC37" s="5" t="s">
        <v>48</v>
      </c>
      <c r="AD37" s="11">
        <v>45884</v>
      </c>
      <c r="AE37" s="11">
        <v>0.72681712962962963</v>
      </c>
      <c r="AF37" s="5" t="s">
        <v>18</v>
      </c>
      <c r="AG37" s="5" t="s">
        <v>18</v>
      </c>
      <c r="AH37" s="5" t="s">
        <v>36</v>
      </c>
      <c r="AI37" s="5">
        <v>9644206129</v>
      </c>
      <c r="AJ37" s="5" t="s">
        <v>136</v>
      </c>
      <c r="AK37" s="5" t="s">
        <v>137</v>
      </c>
      <c r="AL37" s="5" t="s">
        <v>82</v>
      </c>
      <c r="AM37" s="5" t="s">
        <v>63</v>
      </c>
      <c r="AN37" s="5">
        <v>3</v>
      </c>
      <c r="AO37" s="5" t="s">
        <v>24</v>
      </c>
      <c r="AP37" s="5" t="s">
        <v>25</v>
      </c>
      <c r="AQ37" s="5">
        <f t="shared" si="1"/>
        <v>142.32888888887828</v>
      </c>
      <c r="AR37" s="5">
        <f t="shared" si="2"/>
        <v>5.93</v>
      </c>
      <c r="AS37" s="5" t="str">
        <f t="shared" si="3"/>
        <v>5-8 days</v>
      </c>
      <c r="AT37" s="5" t="str">
        <f t="shared" ca="1" si="8"/>
        <v>STATUS-COMPLETE</v>
      </c>
      <c r="AU37" s="5" t="str">
        <f t="shared" ca="1" si="9"/>
        <v>STATUS-COMPLETE</v>
      </c>
      <c r="CG37" s="3" t="s">
        <v>52</v>
      </c>
      <c r="CH37" s="64">
        <v>14</v>
      </c>
      <c r="CI37" s="66">
        <v>0.66666666666666663</v>
      </c>
      <c r="CJ37" s="64">
        <v>7</v>
      </c>
      <c r="CK37" s="66">
        <v>0.33333333333333331</v>
      </c>
      <c r="CL37" s="64">
        <v>21</v>
      </c>
      <c r="CM37" s="66">
        <v>1</v>
      </c>
    </row>
    <row r="38" spans="1:152" x14ac:dyDescent="0.3">
      <c r="A38" s="5">
        <v>75508482467</v>
      </c>
      <c r="B38" s="6">
        <v>45919</v>
      </c>
      <c r="C38" s="11">
        <v>0.59675925925925921</v>
      </c>
      <c r="D38" s="5" t="s">
        <v>95</v>
      </c>
      <c r="E38" s="11">
        <v>45928</v>
      </c>
      <c r="F38" s="11">
        <v>0.58637731481481481</v>
      </c>
      <c r="G38" s="5" t="s">
        <v>18</v>
      </c>
      <c r="H38" s="5" t="s">
        <v>18</v>
      </c>
      <c r="I38" s="5" t="s">
        <v>27</v>
      </c>
      <c r="J38" s="5">
        <v>7676474018</v>
      </c>
      <c r="K38" s="5" t="s">
        <v>363</v>
      </c>
      <c r="L38" s="5" t="s">
        <v>364</v>
      </c>
      <c r="M38" s="5" t="s">
        <v>29</v>
      </c>
      <c r="N38" s="5" t="s">
        <v>72</v>
      </c>
      <c r="O38" s="5">
        <v>7</v>
      </c>
      <c r="P38" s="5" t="s">
        <v>24</v>
      </c>
      <c r="Q38" s="5" t="s">
        <v>25</v>
      </c>
      <c r="U38" s="5">
        <v>75881331845</v>
      </c>
      <c r="V38" s="11">
        <v>45878</v>
      </c>
      <c r="W38" s="11">
        <v>0.60598379629629628</v>
      </c>
      <c r="X38" s="5">
        <f t="shared" si="0"/>
        <v>8</v>
      </c>
      <c r="Y38" s="5">
        <f t="shared" si="4"/>
        <v>32</v>
      </c>
      <c r="Z38" s="5">
        <f t="shared" si="5"/>
        <v>9</v>
      </c>
      <c r="AA38" s="5">
        <f t="shared" si="6"/>
        <v>7</v>
      </c>
      <c r="AB38" s="5" t="str">
        <f t="shared" si="7"/>
        <v>14 - 15 hr</v>
      </c>
      <c r="AC38" s="5" t="s">
        <v>17</v>
      </c>
      <c r="AD38" s="11">
        <v>45887</v>
      </c>
      <c r="AE38" s="11">
        <v>0.44935185185185184</v>
      </c>
      <c r="AF38" s="5" t="s">
        <v>18</v>
      </c>
      <c r="AG38" s="5" t="s">
        <v>18</v>
      </c>
      <c r="AH38" s="5" t="s">
        <v>49</v>
      </c>
      <c r="AI38" s="5">
        <v>8941348507</v>
      </c>
      <c r="AJ38" s="5" t="s">
        <v>144</v>
      </c>
      <c r="AK38" s="5" t="s">
        <v>145</v>
      </c>
      <c r="AL38" s="5" t="s">
        <v>29</v>
      </c>
      <c r="AM38" s="5" t="s">
        <v>52</v>
      </c>
      <c r="AN38" s="5">
        <v>2</v>
      </c>
      <c r="AO38" s="5" t="s">
        <v>24</v>
      </c>
      <c r="AP38" s="5" t="s">
        <v>25</v>
      </c>
      <c r="AQ38" s="5">
        <f t="shared" si="1"/>
        <v>212.24083333328599</v>
      </c>
      <c r="AR38" s="5">
        <f t="shared" si="2"/>
        <v>8.84</v>
      </c>
      <c r="AS38" s="5" t="str">
        <f t="shared" si="3"/>
        <v>9-12 days</v>
      </c>
      <c r="AT38" s="5" t="str">
        <f t="shared" ca="1" si="8"/>
        <v>STATUS-COMPLETE</v>
      </c>
      <c r="AU38" s="5" t="str">
        <f t="shared" ca="1" si="9"/>
        <v>STATUS-COMPLETE</v>
      </c>
      <c r="CG38" s="3" t="s">
        <v>86</v>
      </c>
      <c r="CH38" s="64">
        <v>14</v>
      </c>
      <c r="CI38" s="66">
        <v>0.73684210526315785</v>
      </c>
      <c r="CJ38" s="64">
        <v>5</v>
      </c>
      <c r="CK38" s="66">
        <v>0.26315789473684209</v>
      </c>
      <c r="CL38" s="64">
        <v>19</v>
      </c>
      <c r="CM38" s="66">
        <v>1</v>
      </c>
    </row>
    <row r="39" spans="1:152" x14ac:dyDescent="0.3">
      <c r="A39" s="5">
        <v>75509856785</v>
      </c>
      <c r="B39" s="6">
        <v>45892</v>
      </c>
      <c r="C39" s="11">
        <v>0.39770833333333333</v>
      </c>
      <c r="D39" s="5" t="s">
        <v>78</v>
      </c>
      <c r="E39" s="11">
        <v>45896</v>
      </c>
      <c r="F39" s="11">
        <v>0.68035879629629625</v>
      </c>
      <c r="G39" s="5" t="s">
        <v>18</v>
      </c>
      <c r="H39" s="5" t="s">
        <v>18</v>
      </c>
      <c r="I39" s="5" t="s">
        <v>49</v>
      </c>
      <c r="J39" s="5">
        <v>9411439945</v>
      </c>
      <c r="K39" s="5" t="s">
        <v>389</v>
      </c>
      <c r="L39" s="5" t="s">
        <v>390</v>
      </c>
      <c r="M39" s="5" t="s">
        <v>29</v>
      </c>
      <c r="N39" s="5" t="s">
        <v>102</v>
      </c>
      <c r="O39" s="5">
        <v>5</v>
      </c>
      <c r="P39" s="5" t="s">
        <v>24</v>
      </c>
      <c r="Q39" s="5" t="s">
        <v>25</v>
      </c>
      <c r="U39" s="5">
        <v>75540712839</v>
      </c>
      <c r="V39" s="11">
        <v>45878</v>
      </c>
      <c r="W39" s="11">
        <v>0.76677083333333329</v>
      </c>
      <c r="X39" s="5">
        <f t="shared" si="0"/>
        <v>8</v>
      </c>
      <c r="Y39" s="5">
        <f t="shared" si="4"/>
        <v>32</v>
      </c>
      <c r="Z39" s="5">
        <f t="shared" si="5"/>
        <v>9</v>
      </c>
      <c r="AA39" s="5">
        <f t="shared" si="6"/>
        <v>7</v>
      </c>
      <c r="AB39" s="5" t="str">
        <f t="shared" si="7"/>
        <v>18 - 19 hr</v>
      </c>
      <c r="AC39" s="5" t="s">
        <v>95</v>
      </c>
      <c r="AD39" s="11"/>
      <c r="AE39" s="11"/>
      <c r="AF39" s="5" t="s">
        <v>18</v>
      </c>
      <c r="AG39" s="5" t="s">
        <v>18</v>
      </c>
      <c r="AH39" s="5" t="s">
        <v>19</v>
      </c>
      <c r="AI39" s="5">
        <v>7776727492</v>
      </c>
      <c r="AJ39" s="5" t="s">
        <v>179</v>
      </c>
      <c r="AK39" s="5" t="s">
        <v>180</v>
      </c>
      <c r="AL39" s="5" t="s">
        <v>22</v>
      </c>
      <c r="AM39" s="5" t="s">
        <v>94</v>
      </c>
      <c r="AN39" s="5">
        <v>2</v>
      </c>
      <c r="AO39" s="5" t="s">
        <v>24</v>
      </c>
      <c r="AP39" s="5" t="s">
        <v>25</v>
      </c>
      <c r="AQ39" s="5" t="str">
        <f t="shared" si="1"/>
        <v>Issue_solved_date_absent</v>
      </c>
      <c r="AR39" s="5" t="str">
        <f t="shared" si="2"/>
        <v>Issue_solved_date_absent</v>
      </c>
      <c r="AS39" s="5" t="str">
        <f t="shared" si="3"/>
        <v>Issue_solved_date_absent</v>
      </c>
      <c r="AT39" s="5" t="str">
        <f t="shared" ca="1" si="8"/>
        <v>STATUS-COMPLETE</v>
      </c>
      <c r="AU39" s="5" t="str">
        <f t="shared" ca="1" si="9"/>
        <v>STATUS-COMPLETE</v>
      </c>
      <c r="CG39" s="3" t="s">
        <v>23</v>
      </c>
      <c r="CH39" s="64">
        <v>9</v>
      </c>
      <c r="CI39" s="66">
        <v>0.5</v>
      </c>
      <c r="CJ39" s="64">
        <v>9</v>
      </c>
      <c r="CK39" s="66">
        <v>0.5</v>
      </c>
      <c r="CL39" s="64">
        <v>18</v>
      </c>
      <c r="CM39" s="66">
        <v>1</v>
      </c>
    </row>
    <row r="40" spans="1:152" x14ac:dyDescent="0.3">
      <c r="A40" s="5">
        <v>75510152642</v>
      </c>
      <c r="B40" s="6">
        <v>45914</v>
      </c>
      <c r="C40" s="11">
        <v>0.40020833333333333</v>
      </c>
      <c r="D40" s="5" t="s">
        <v>48</v>
      </c>
      <c r="E40" s="11"/>
      <c r="F40" s="11"/>
      <c r="G40" s="5" t="s">
        <v>18</v>
      </c>
      <c r="H40" s="5" t="s">
        <v>18</v>
      </c>
      <c r="I40" s="5" t="s">
        <v>27</v>
      </c>
      <c r="J40" s="5">
        <v>9056061866</v>
      </c>
      <c r="K40" s="5" t="s">
        <v>88</v>
      </c>
      <c r="L40" s="5" t="s">
        <v>89</v>
      </c>
      <c r="M40" s="5" t="s">
        <v>29</v>
      </c>
      <c r="N40" s="5" t="s">
        <v>76</v>
      </c>
      <c r="O40" s="5">
        <v>2</v>
      </c>
      <c r="P40" s="5" t="s">
        <v>34</v>
      </c>
      <c r="Q40" s="5" t="s">
        <v>35</v>
      </c>
      <c r="U40" s="5">
        <v>75650006353</v>
      </c>
      <c r="V40" s="11">
        <v>45878</v>
      </c>
      <c r="W40" s="11">
        <v>0.37946759259259261</v>
      </c>
      <c r="X40" s="5">
        <f t="shared" si="0"/>
        <v>8</v>
      </c>
      <c r="Y40" s="5">
        <f t="shared" si="4"/>
        <v>32</v>
      </c>
      <c r="Z40" s="5">
        <f t="shared" si="5"/>
        <v>9</v>
      </c>
      <c r="AA40" s="5">
        <f t="shared" si="6"/>
        <v>7</v>
      </c>
      <c r="AB40" s="5" t="str">
        <f t="shared" si="7"/>
        <v>9 - 10 hr</v>
      </c>
      <c r="AC40" s="5" t="s">
        <v>78</v>
      </c>
      <c r="AD40" s="11"/>
      <c r="AE40" s="11"/>
      <c r="AF40" s="5" t="s">
        <v>18</v>
      </c>
      <c r="AG40" s="5" t="s">
        <v>18</v>
      </c>
      <c r="AH40" s="5" t="s">
        <v>49</v>
      </c>
      <c r="AI40" s="5">
        <v>9028959334</v>
      </c>
      <c r="AJ40" s="5" t="s">
        <v>241</v>
      </c>
      <c r="AK40" s="5" t="s">
        <v>239</v>
      </c>
      <c r="AL40" s="5" t="s">
        <v>22</v>
      </c>
      <c r="AM40" s="5" t="s">
        <v>94</v>
      </c>
      <c r="AN40" s="5">
        <v>4</v>
      </c>
      <c r="AO40" s="5" t="s">
        <v>24</v>
      </c>
      <c r="AP40" s="5" t="s">
        <v>25</v>
      </c>
      <c r="AQ40" s="5" t="str">
        <f t="shared" si="1"/>
        <v>Issue_solved_date_absent</v>
      </c>
      <c r="AR40" s="5" t="str">
        <f t="shared" si="2"/>
        <v>Issue_solved_date_absent</v>
      </c>
      <c r="AS40" s="5" t="str">
        <f t="shared" si="3"/>
        <v>Issue_solved_date_absent</v>
      </c>
      <c r="AT40" s="5" t="str">
        <f t="shared" ca="1" si="8"/>
        <v>STATUS-COMPLETE</v>
      </c>
      <c r="AU40" s="5" t="str">
        <f t="shared" ca="1" si="9"/>
        <v>STATUS-COMPLETE</v>
      </c>
      <c r="CG40" s="3" t="s">
        <v>42</v>
      </c>
      <c r="CH40" s="64">
        <v>16</v>
      </c>
      <c r="CI40" s="66">
        <v>0.88888888888888884</v>
      </c>
      <c r="CJ40" s="64">
        <v>2</v>
      </c>
      <c r="CK40" s="66">
        <v>0.1111111111111111</v>
      </c>
      <c r="CL40" s="64">
        <v>18</v>
      </c>
      <c r="CM40" s="66">
        <v>1</v>
      </c>
    </row>
    <row r="41" spans="1:152" x14ac:dyDescent="0.3">
      <c r="A41" s="5">
        <v>75510493305</v>
      </c>
      <c r="B41" s="6">
        <v>45893</v>
      </c>
      <c r="C41" s="11">
        <v>0.78039351851851857</v>
      </c>
      <c r="D41" s="5" t="s">
        <v>17</v>
      </c>
      <c r="E41" s="11">
        <v>45903</v>
      </c>
      <c r="F41" s="11">
        <v>0.47442129629629631</v>
      </c>
      <c r="G41" s="5" t="s">
        <v>18</v>
      </c>
      <c r="H41" s="5" t="s">
        <v>18</v>
      </c>
      <c r="I41" s="5" t="s">
        <v>27</v>
      </c>
      <c r="J41" s="5">
        <v>7980989514</v>
      </c>
      <c r="K41" s="5" t="s">
        <v>338</v>
      </c>
      <c r="L41" s="5" t="s">
        <v>220</v>
      </c>
      <c r="M41" s="5" t="s">
        <v>33</v>
      </c>
      <c r="N41" s="5" t="s">
        <v>203</v>
      </c>
      <c r="O41" s="5">
        <v>8</v>
      </c>
      <c r="P41" s="5" t="s">
        <v>24</v>
      </c>
      <c r="Q41" s="5" t="s">
        <v>25</v>
      </c>
      <c r="U41" s="5">
        <v>75882954920</v>
      </c>
      <c r="V41" s="11">
        <v>45878</v>
      </c>
      <c r="W41" s="11">
        <v>0.58719907407407412</v>
      </c>
      <c r="X41" s="5">
        <f t="shared" si="0"/>
        <v>8</v>
      </c>
      <c r="Y41" s="5">
        <f t="shared" si="4"/>
        <v>32</v>
      </c>
      <c r="Z41" s="5">
        <f t="shared" si="5"/>
        <v>9</v>
      </c>
      <c r="AA41" s="5">
        <f t="shared" si="6"/>
        <v>7</v>
      </c>
      <c r="AB41" s="5" t="str">
        <f t="shared" si="7"/>
        <v>14 - 15 hr</v>
      </c>
      <c r="AC41" s="5" t="s">
        <v>26</v>
      </c>
      <c r="AD41" s="11">
        <v>45883</v>
      </c>
      <c r="AE41" s="11">
        <v>0.51505787037037032</v>
      </c>
      <c r="AF41" s="5" t="s">
        <v>18</v>
      </c>
      <c r="AG41" s="5" t="s">
        <v>18</v>
      </c>
      <c r="AH41" s="5" t="s">
        <v>27</v>
      </c>
      <c r="AI41" s="5">
        <v>7221348142</v>
      </c>
      <c r="AJ41" s="5" t="s">
        <v>268</v>
      </c>
      <c r="AK41" s="5" t="s">
        <v>269</v>
      </c>
      <c r="AL41" s="5" t="s">
        <v>22</v>
      </c>
      <c r="AM41" s="5" t="s">
        <v>72</v>
      </c>
      <c r="AN41" s="5">
        <v>5</v>
      </c>
      <c r="AO41" s="5" t="s">
        <v>24</v>
      </c>
      <c r="AP41" s="5" t="s">
        <v>25</v>
      </c>
      <c r="AQ41" s="5">
        <f t="shared" si="1"/>
        <v>118.26861111115431</v>
      </c>
      <c r="AR41" s="5">
        <f t="shared" si="2"/>
        <v>4.93</v>
      </c>
      <c r="AS41" s="5" t="str">
        <f t="shared" si="3"/>
        <v>5-8 days</v>
      </c>
      <c r="AT41" s="5" t="str">
        <f t="shared" ca="1" si="8"/>
        <v>STATUS-COMPLETE</v>
      </c>
      <c r="AU41" s="5" t="str">
        <f t="shared" ca="1" si="9"/>
        <v>STATUS-COMPLETE</v>
      </c>
      <c r="CG41" s="3" t="s">
        <v>39</v>
      </c>
      <c r="CH41" s="64">
        <v>13</v>
      </c>
      <c r="CI41" s="66">
        <v>0.72222222222222221</v>
      </c>
      <c r="CJ41" s="64">
        <v>5</v>
      </c>
      <c r="CK41" s="66">
        <v>0.27777777777777779</v>
      </c>
      <c r="CL41" s="64">
        <v>18</v>
      </c>
      <c r="CM41" s="66">
        <v>1</v>
      </c>
    </row>
    <row r="42" spans="1:152" x14ac:dyDescent="0.3">
      <c r="A42" s="5">
        <v>75513424523</v>
      </c>
      <c r="B42" s="6">
        <v>45920</v>
      </c>
      <c r="C42" s="11">
        <v>0.78409722222222222</v>
      </c>
      <c r="D42" s="5" t="s">
        <v>30</v>
      </c>
      <c r="E42" s="11">
        <v>45927</v>
      </c>
      <c r="F42" s="11">
        <v>0.46500000000000002</v>
      </c>
      <c r="G42" s="5" t="s">
        <v>18</v>
      </c>
      <c r="H42" s="5" t="s">
        <v>18</v>
      </c>
      <c r="I42" s="5" t="s">
        <v>19</v>
      </c>
      <c r="J42" s="5">
        <v>9300528259</v>
      </c>
      <c r="K42" s="5" t="s">
        <v>381</v>
      </c>
      <c r="L42" s="5" t="s">
        <v>324</v>
      </c>
      <c r="M42" s="5" t="s">
        <v>22</v>
      </c>
      <c r="N42" s="5" t="s">
        <v>63</v>
      </c>
      <c r="O42" s="5">
        <v>8</v>
      </c>
      <c r="P42" s="5" t="s">
        <v>24</v>
      </c>
      <c r="Q42" s="5" t="s">
        <v>25</v>
      </c>
      <c r="U42" s="5">
        <v>75937722224</v>
      </c>
      <c r="V42" s="11">
        <v>45878</v>
      </c>
      <c r="W42" s="11">
        <v>0.84864583333333332</v>
      </c>
      <c r="X42" s="5">
        <f t="shared" si="0"/>
        <v>8</v>
      </c>
      <c r="Y42" s="5">
        <f t="shared" si="4"/>
        <v>32</v>
      </c>
      <c r="Z42" s="5">
        <f t="shared" si="5"/>
        <v>9</v>
      </c>
      <c r="AA42" s="5">
        <f t="shared" si="6"/>
        <v>7</v>
      </c>
      <c r="AB42" s="5" t="str">
        <f t="shared" si="7"/>
        <v>20 - 21 hr</v>
      </c>
      <c r="AC42" s="5" t="s">
        <v>17</v>
      </c>
      <c r="AD42" s="11"/>
      <c r="AE42" s="11"/>
      <c r="AF42" s="5" t="s">
        <v>18</v>
      </c>
      <c r="AG42" s="5" t="s">
        <v>18</v>
      </c>
      <c r="AH42" s="5" t="s">
        <v>49</v>
      </c>
      <c r="AI42" s="5">
        <v>8877279755</v>
      </c>
      <c r="AJ42" s="5" t="s">
        <v>283</v>
      </c>
      <c r="AK42" s="5" t="s">
        <v>85</v>
      </c>
      <c r="AL42" s="5" t="s">
        <v>22</v>
      </c>
      <c r="AM42" s="5" t="s">
        <v>86</v>
      </c>
      <c r="AN42" s="5">
        <v>1</v>
      </c>
      <c r="AO42" s="5" t="s">
        <v>34</v>
      </c>
      <c r="AP42" s="5" t="s">
        <v>35</v>
      </c>
      <c r="AQ42" s="5" t="str">
        <f t="shared" si="1"/>
        <v>Issue_pending</v>
      </c>
      <c r="AR42" s="5" t="str">
        <f t="shared" si="2"/>
        <v>Issue_pending</v>
      </c>
      <c r="AS42" s="5" t="str">
        <f t="shared" si="3"/>
        <v>Issue_pending</v>
      </c>
      <c r="AT42" s="5">
        <f t="shared" ca="1" si="8"/>
        <v>52</v>
      </c>
      <c r="AU42" s="5" t="str">
        <f t="shared" ca="1" si="9"/>
        <v>&gt;20 days</v>
      </c>
      <c r="CG42" s="3" t="s">
        <v>94</v>
      </c>
      <c r="CH42" s="64">
        <v>14</v>
      </c>
      <c r="CI42" s="66">
        <v>0.82352941176470584</v>
      </c>
      <c r="CJ42" s="64">
        <v>3</v>
      </c>
      <c r="CK42" s="66">
        <v>0.17647058823529413</v>
      </c>
      <c r="CL42" s="64">
        <v>17</v>
      </c>
      <c r="CM42" s="66">
        <v>1</v>
      </c>
    </row>
    <row r="43" spans="1:152" x14ac:dyDescent="0.3">
      <c r="A43" s="5">
        <v>75513669678</v>
      </c>
      <c r="B43" s="6">
        <v>45899</v>
      </c>
      <c r="C43" s="11">
        <v>0.5191782407407407</v>
      </c>
      <c r="D43" s="5" t="s">
        <v>55</v>
      </c>
      <c r="E43" s="11"/>
      <c r="F43" s="11"/>
      <c r="G43" s="5" t="s">
        <v>18</v>
      </c>
      <c r="H43" s="5" t="s">
        <v>18</v>
      </c>
      <c r="I43" s="5" t="s">
        <v>36</v>
      </c>
      <c r="J43" s="5">
        <v>9250402001</v>
      </c>
      <c r="K43" s="5" t="s">
        <v>164</v>
      </c>
      <c r="L43" s="5" t="s">
        <v>165</v>
      </c>
      <c r="M43" s="5" t="s">
        <v>22</v>
      </c>
      <c r="N43" s="5" t="s">
        <v>23</v>
      </c>
      <c r="O43" s="5">
        <v>2</v>
      </c>
      <c r="P43" s="5" t="s">
        <v>24</v>
      </c>
      <c r="Q43" s="5" t="s">
        <v>60</v>
      </c>
      <c r="U43" s="5">
        <v>75821659217</v>
      </c>
      <c r="V43" s="11">
        <v>45878</v>
      </c>
      <c r="W43" s="11">
        <v>0.67333333333333334</v>
      </c>
      <c r="X43" s="5">
        <f t="shared" si="0"/>
        <v>8</v>
      </c>
      <c r="Y43" s="5">
        <f t="shared" si="4"/>
        <v>32</v>
      </c>
      <c r="Z43" s="5">
        <f t="shared" si="5"/>
        <v>9</v>
      </c>
      <c r="AA43" s="5">
        <f t="shared" si="6"/>
        <v>7</v>
      </c>
      <c r="AB43" s="5" t="str">
        <f t="shared" si="7"/>
        <v>16 - 17 hr</v>
      </c>
      <c r="AC43" s="5" t="s">
        <v>30</v>
      </c>
      <c r="AD43" s="11">
        <v>45881</v>
      </c>
      <c r="AE43" s="11">
        <v>0.50677083333333328</v>
      </c>
      <c r="AF43" s="5" t="s">
        <v>18</v>
      </c>
      <c r="AG43" s="5" t="s">
        <v>18</v>
      </c>
      <c r="AH43" s="5" t="s">
        <v>49</v>
      </c>
      <c r="AI43" s="5">
        <v>9696435541</v>
      </c>
      <c r="AJ43" s="5" t="s">
        <v>317</v>
      </c>
      <c r="AK43" s="5" t="s">
        <v>41</v>
      </c>
      <c r="AL43" s="5" t="s">
        <v>33</v>
      </c>
      <c r="AM43" s="5" t="s">
        <v>42</v>
      </c>
      <c r="AN43" s="5">
        <v>1</v>
      </c>
      <c r="AO43" s="5" t="s">
        <v>24</v>
      </c>
      <c r="AP43" s="5" t="s">
        <v>25</v>
      </c>
      <c r="AQ43" s="5">
        <f t="shared" si="1"/>
        <v>68.002499999944121</v>
      </c>
      <c r="AR43" s="5">
        <f t="shared" si="2"/>
        <v>2.83</v>
      </c>
      <c r="AS43" s="5" t="str">
        <f t="shared" si="3"/>
        <v>1-4 days</v>
      </c>
      <c r="AT43" s="5" t="str">
        <f t="shared" ca="1" si="8"/>
        <v>STATUS-COMPLETE</v>
      </c>
      <c r="AU43" s="5" t="str">
        <f t="shared" ca="1" si="9"/>
        <v>STATUS-COMPLETE</v>
      </c>
      <c r="CG43" s="3" t="s">
        <v>102</v>
      </c>
      <c r="CH43" s="64">
        <v>11</v>
      </c>
      <c r="CI43" s="66">
        <v>0.6875</v>
      </c>
      <c r="CJ43" s="64">
        <v>5</v>
      </c>
      <c r="CK43" s="66">
        <v>0.3125</v>
      </c>
      <c r="CL43" s="64">
        <v>16</v>
      </c>
      <c r="CM43" s="66">
        <v>1</v>
      </c>
    </row>
    <row r="44" spans="1:152" x14ac:dyDescent="0.3">
      <c r="A44" s="5">
        <v>75517434526</v>
      </c>
      <c r="B44" s="6">
        <v>45914</v>
      </c>
      <c r="C44" s="11">
        <v>0.52965277777777775</v>
      </c>
      <c r="D44" s="5" t="s">
        <v>78</v>
      </c>
      <c r="E44" s="11"/>
      <c r="F44" s="11"/>
      <c r="G44" s="5" t="s">
        <v>18</v>
      </c>
      <c r="H44" s="5" t="s">
        <v>18</v>
      </c>
      <c r="I44" s="5" t="s">
        <v>49</v>
      </c>
      <c r="J44" s="5">
        <v>7714418371</v>
      </c>
      <c r="K44" s="5" t="s">
        <v>296</v>
      </c>
      <c r="L44" s="5" t="s">
        <v>297</v>
      </c>
      <c r="M44" s="5" t="s">
        <v>22</v>
      </c>
      <c r="N44" s="5" t="s">
        <v>86</v>
      </c>
      <c r="O44" s="5">
        <v>5</v>
      </c>
      <c r="P44" s="5" t="s">
        <v>34</v>
      </c>
      <c r="Q44" s="5" t="s">
        <v>35</v>
      </c>
      <c r="U44" s="5">
        <v>75694226159</v>
      </c>
      <c r="V44" s="11">
        <v>45878</v>
      </c>
      <c r="W44" s="11">
        <v>0.44540509259259259</v>
      </c>
      <c r="X44" s="5">
        <f t="shared" si="0"/>
        <v>8</v>
      </c>
      <c r="Y44" s="5">
        <f t="shared" si="4"/>
        <v>32</v>
      </c>
      <c r="Z44" s="5">
        <f t="shared" si="5"/>
        <v>9</v>
      </c>
      <c r="AA44" s="5">
        <f t="shared" si="6"/>
        <v>7</v>
      </c>
      <c r="AB44" s="5" t="str">
        <f t="shared" si="7"/>
        <v>10 - 11 hr</v>
      </c>
      <c r="AC44" s="5" t="s">
        <v>30</v>
      </c>
      <c r="AD44" s="11"/>
      <c r="AE44" s="11"/>
      <c r="AF44" s="5" t="s">
        <v>18</v>
      </c>
      <c r="AG44" s="5" t="s">
        <v>18</v>
      </c>
      <c r="AH44" s="5" t="s">
        <v>19</v>
      </c>
      <c r="AI44" s="5">
        <v>7353993484</v>
      </c>
      <c r="AJ44" s="5" t="s">
        <v>323</v>
      </c>
      <c r="AK44" s="5" t="s">
        <v>324</v>
      </c>
      <c r="AL44" s="5" t="s">
        <v>82</v>
      </c>
      <c r="AM44" s="5" t="s">
        <v>63</v>
      </c>
      <c r="AN44" s="5">
        <v>8</v>
      </c>
      <c r="AO44" s="5" t="s">
        <v>34</v>
      </c>
      <c r="AP44" s="5" t="s">
        <v>60</v>
      </c>
      <c r="AQ44" s="5" t="str">
        <f t="shared" si="1"/>
        <v>Issue_pending</v>
      </c>
      <c r="AR44" s="5" t="str">
        <f t="shared" si="2"/>
        <v>Issue_pending</v>
      </c>
      <c r="AS44" s="5" t="str">
        <f t="shared" si="3"/>
        <v>Issue_pending</v>
      </c>
      <c r="AT44" s="5">
        <f t="shared" ca="1" si="8"/>
        <v>52</v>
      </c>
      <c r="AU44" s="5" t="str">
        <f t="shared" ca="1" si="9"/>
        <v>&gt;20 days</v>
      </c>
      <c r="CG44" s="3" t="s">
        <v>63</v>
      </c>
      <c r="CH44" s="64">
        <v>12</v>
      </c>
      <c r="CI44" s="66">
        <v>0.75</v>
      </c>
      <c r="CJ44" s="64">
        <v>4</v>
      </c>
      <c r="CK44" s="66">
        <v>0.25</v>
      </c>
      <c r="CL44" s="64">
        <v>16</v>
      </c>
      <c r="CM44" s="66">
        <v>1</v>
      </c>
    </row>
    <row r="45" spans="1:152" x14ac:dyDescent="0.3">
      <c r="A45" s="5">
        <v>75517999418</v>
      </c>
      <c r="B45" s="6">
        <v>45903</v>
      </c>
      <c r="C45" s="11">
        <v>0.50101851851851853</v>
      </c>
      <c r="D45" s="5" t="s">
        <v>78</v>
      </c>
      <c r="E45" s="11">
        <v>45913</v>
      </c>
      <c r="F45" s="11">
        <v>0.63185185185185189</v>
      </c>
      <c r="G45" s="5" t="s">
        <v>18</v>
      </c>
      <c r="H45" s="5" t="s">
        <v>18</v>
      </c>
      <c r="I45" s="5" t="s">
        <v>27</v>
      </c>
      <c r="J45" s="5">
        <v>8798647685</v>
      </c>
      <c r="K45" s="5" t="s">
        <v>232</v>
      </c>
      <c r="L45" s="5" t="s">
        <v>233</v>
      </c>
      <c r="M45" s="5" t="s">
        <v>82</v>
      </c>
      <c r="N45" s="5" t="s">
        <v>94</v>
      </c>
      <c r="O45" s="5">
        <v>5</v>
      </c>
      <c r="P45" s="5" t="s">
        <v>24</v>
      </c>
      <c r="Q45" s="5" t="s">
        <v>35</v>
      </c>
      <c r="U45" s="5">
        <v>75918079974</v>
      </c>
      <c r="V45" s="11">
        <v>45879</v>
      </c>
      <c r="W45" s="11">
        <v>0.6774189814814815</v>
      </c>
      <c r="X45" s="5">
        <f t="shared" si="0"/>
        <v>8</v>
      </c>
      <c r="Y45" s="5">
        <f t="shared" si="4"/>
        <v>33</v>
      </c>
      <c r="Z45" s="5">
        <f t="shared" si="5"/>
        <v>10</v>
      </c>
      <c r="AA45" s="5">
        <f t="shared" si="6"/>
        <v>1</v>
      </c>
      <c r="AB45" s="5" t="str">
        <f t="shared" si="7"/>
        <v>16 - 17 hr</v>
      </c>
      <c r="AC45" s="5" t="s">
        <v>46</v>
      </c>
      <c r="AD45" s="11">
        <v>45891</v>
      </c>
      <c r="AE45" s="11">
        <v>0.56440972222222219</v>
      </c>
      <c r="AF45" s="5" t="s">
        <v>18</v>
      </c>
      <c r="AG45" s="5" t="s">
        <v>18</v>
      </c>
      <c r="AH45" s="5" t="s">
        <v>36</v>
      </c>
      <c r="AI45" s="5">
        <v>7621232513</v>
      </c>
      <c r="AJ45" s="5" t="s">
        <v>110</v>
      </c>
      <c r="AK45" s="5" t="s">
        <v>111</v>
      </c>
      <c r="AL45" s="5" t="s">
        <v>33</v>
      </c>
      <c r="AM45" s="5" t="s">
        <v>94</v>
      </c>
      <c r="AN45" s="5">
        <v>4</v>
      </c>
      <c r="AO45" s="5" t="s">
        <v>24</v>
      </c>
      <c r="AP45" s="5" t="s">
        <v>25</v>
      </c>
      <c r="AQ45" s="5">
        <f t="shared" si="1"/>
        <v>285.28777777781943</v>
      </c>
      <c r="AR45" s="5">
        <f t="shared" si="2"/>
        <v>11.89</v>
      </c>
      <c r="AS45" s="5" t="str">
        <f t="shared" si="3"/>
        <v>9-12 days</v>
      </c>
      <c r="AT45" s="5" t="str">
        <f t="shared" ca="1" si="8"/>
        <v>STATUS-COMPLETE</v>
      </c>
      <c r="AU45" s="5" t="str">
        <f t="shared" ca="1" si="9"/>
        <v>STATUS-COMPLETE</v>
      </c>
      <c r="CG45" s="3" t="s">
        <v>76</v>
      </c>
      <c r="CH45" s="64">
        <v>11</v>
      </c>
      <c r="CI45" s="66">
        <v>0.6875</v>
      </c>
      <c r="CJ45" s="64">
        <v>5</v>
      </c>
      <c r="CK45" s="66">
        <v>0.3125</v>
      </c>
      <c r="CL45" s="64">
        <v>16</v>
      </c>
      <c r="CM45" s="66">
        <v>1</v>
      </c>
    </row>
    <row r="46" spans="1:152" x14ac:dyDescent="0.3">
      <c r="A46" s="5">
        <v>75520483278</v>
      </c>
      <c r="B46" s="6">
        <v>45920</v>
      </c>
      <c r="C46" s="11">
        <v>0.41221064814814817</v>
      </c>
      <c r="D46" s="5" t="s">
        <v>46</v>
      </c>
      <c r="E46" s="11">
        <v>45928</v>
      </c>
      <c r="F46" s="11">
        <v>0.73984953703703704</v>
      </c>
      <c r="G46" s="5" t="s">
        <v>18</v>
      </c>
      <c r="H46" s="5" t="s">
        <v>18</v>
      </c>
      <c r="I46" s="5" t="s">
        <v>36</v>
      </c>
      <c r="J46" s="5">
        <v>7868256753</v>
      </c>
      <c r="K46" s="5" t="s">
        <v>254</v>
      </c>
      <c r="L46" s="5" t="s">
        <v>62</v>
      </c>
      <c r="M46" s="5" t="s">
        <v>22</v>
      </c>
      <c r="N46" s="5" t="s">
        <v>63</v>
      </c>
      <c r="O46" s="5">
        <v>2</v>
      </c>
      <c r="P46" s="5" t="s">
        <v>24</v>
      </c>
      <c r="Q46" s="5" t="s">
        <v>25</v>
      </c>
      <c r="U46" s="5">
        <v>75574485243</v>
      </c>
      <c r="V46" s="11">
        <v>45879</v>
      </c>
      <c r="W46" s="11">
        <v>0.65262731481481484</v>
      </c>
      <c r="X46" s="5">
        <f t="shared" si="0"/>
        <v>8</v>
      </c>
      <c r="Y46" s="5">
        <f t="shared" si="4"/>
        <v>33</v>
      </c>
      <c r="Z46" s="5">
        <f t="shared" si="5"/>
        <v>10</v>
      </c>
      <c r="AA46" s="5">
        <f t="shared" si="6"/>
        <v>1</v>
      </c>
      <c r="AB46" s="5" t="str">
        <f t="shared" si="7"/>
        <v>15 - 16 hr</v>
      </c>
      <c r="AC46" s="5" t="s">
        <v>30</v>
      </c>
      <c r="AD46" s="11">
        <v>45888</v>
      </c>
      <c r="AE46" s="11">
        <v>0.47290509259259261</v>
      </c>
      <c r="AF46" s="5" t="s">
        <v>18</v>
      </c>
      <c r="AG46" s="5" t="s">
        <v>18</v>
      </c>
      <c r="AH46" s="5" t="s">
        <v>36</v>
      </c>
      <c r="AI46" s="5">
        <v>9550027973</v>
      </c>
      <c r="AJ46" s="5" t="s">
        <v>230</v>
      </c>
      <c r="AK46" s="5" t="s">
        <v>132</v>
      </c>
      <c r="AL46" s="5" t="s">
        <v>33</v>
      </c>
      <c r="AM46" s="5" t="s">
        <v>39</v>
      </c>
      <c r="AN46" s="5">
        <v>1</v>
      </c>
      <c r="AO46" s="5" t="s">
        <v>24</v>
      </c>
      <c r="AP46" s="5" t="s">
        <v>25</v>
      </c>
      <c r="AQ46" s="5">
        <f t="shared" si="1"/>
        <v>211.68666666682111</v>
      </c>
      <c r="AR46" s="5">
        <f t="shared" si="2"/>
        <v>8.82</v>
      </c>
      <c r="AS46" s="5" t="str">
        <f t="shared" si="3"/>
        <v>9-12 days</v>
      </c>
      <c r="AT46" s="5" t="str">
        <f t="shared" ca="1" si="8"/>
        <v>STATUS-COMPLETE</v>
      </c>
      <c r="AU46" s="5" t="str">
        <f t="shared" ca="1" si="9"/>
        <v>STATUS-COMPLETE</v>
      </c>
      <c r="CG46" s="3" t="s">
        <v>66</v>
      </c>
      <c r="CH46" s="64">
        <v>9</v>
      </c>
      <c r="CI46" s="66">
        <v>0.6428571428571429</v>
      </c>
      <c r="CJ46" s="64">
        <v>5</v>
      </c>
      <c r="CK46" s="66">
        <v>0.35714285714285715</v>
      </c>
      <c r="CL46" s="64">
        <v>14</v>
      </c>
      <c r="CM46" s="66">
        <v>1</v>
      </c>
    </row>
    <row r="47" spans="1:152" x14ac:dyDescent="0.3">
      <c r="A47" s="5">
        <v>75522628457</v>
      </c>
      <c r="B47" s="6">
        <v>45919</v>
      </c>
      <c r="C47" s="11">
        <v>0.57608796296296294</v>
      </c>
      <c r="D47" s="5"/>
      <c r="E47" s="11"/>
      <c r="F47" s="11"/>
      <c r="G47" s="5" t="s">
        <v>18</v>
      </c>
      <c r="H47" s="5" t="s">
        <v>18</v>
      </c>
      <c r="I47" s="5" t="s">
        <v>49</v>
      </c>
      <c r="J47" s="5">
        <v>9328058564</v>
      </c>
      <c r="K47" s="5" t="s">
        <v>313</v>
      </c>
      <c r="L47" s="5" t="s">
        <v>177</v>
      </c>
      <c r="M47" s="5" t="s">
        <v>22</v>
      </c>
      <c r="N47" s="5" t="s">
        <v>102</v>
      </c>
      <c r="O47" s="5">
        <v>1</v>
      </c>
      <c r="P47" s="5" t="s">
        <v>34</v>
      </c>
      <c r="Q47" s="5" t="s">
        <v>35</v>
      </c>
      <c r="U47" s="5">
        <v>75720877774</v>
      </c>
      <c r="V47" s="11">
        <v>45879</v>
      </c>
      <c r="W47" s="11">
        <v>0.5779050925925926</v>
      </c>
      <c r="X47" s="5">
        <f t="shared" si="0"/>
        <v>8</v>
      </c>
      <c r="Y47" s="5">
        <f t="shared" si="4"/>
        <v>33</v>
      </c>
      <c r="Z47" s="5">
        <f t="shared" si="5"/>
        <v>10</v>
      </c>
      <c r="AA47" s="5">
        <f t="shared" si="6"/>
        <v>1</v>
      </c>
      <c r="AB47" s="5" t="str">
        <f t="shared" si="7"/>
        <v>13 - 14 hr</v>
      </c>
      <c r="AC47" s="5" t="s">
        <v>43</v>
      </c>
      <c r="AD47" s="11">
        <v>45883</v>
      </c>
      <c r="AE47" s="11">
        <v>0.60106481481481477</v>
      </c>
      <c r="AF47" s="5" t="s">
        <v>18</v>
      </c>
      <c r="AG47" s="5" t="s">
        <v>18</v>
      </c>
      <c r="AH47" s="5" t="s">
        <v>36</v>
      </c>
      <c r="AI47" s="5">
        <v>8736851379</v>
      </c>
      <c r="AJ47" s="5" t="s">
        <v>351</v>
      </c>
      <c r="AK47" s="5" t="s">
        <v>352</v>
      </c>
      <c r="AL47" s="5" t="s">
        <v>22</v>
      </c>
      <c r="AM47" s="5" t="s">
        <v>39</v>
      </c>
      <c r="AN47" s="5">
        <v>4</v>
      </c>
      <c r="AO47" s="5" t="s">
        <v>24</v>
      </c>
      <c r="AP47" s="5" t="s">
        <v>25</v>
      </c>
      <c r="AQ47" s="5">
        <f t="shared" si="1"/>
        <v>96.555833333346527</v>
      </c>
      <c r="AR47" s="5">
        <f t="shared" si="2"/>
        <v>4.0199999999999996</v>
      </c>
      <c r="AS47" s="5" t="str">
        <f t="shared" si="3"/>
        <v>5-8 days</v>
      </c>
      <c r="AT47" s="5" t="str">
        <f t="shared" ca="1" si="8"/>
        <v>STATUS-COMPLETE</v>
      </c>
      <c r="AU47" s="5" t="str">
        <f t="shared" ca="1" si="9"/>
        <v>STATUS-COMPLETE</v>
      </c>
      <c r="CG47" s="3" t="s">
        <v>72</v>
      </c>
      <c r="CH47" s="64">
        <v>9</v>
      </c>
      <c r="CI47" s="66">
        <v>0.6428571428571429</v>
      </c>
      <c r="CJ47" s="64">
        <v>5</v>
      </c>
      <c r="CK47" s="66">
        <v>0.35714285714285715</v>
      </c>
      <c r="CL47" s="64">
        <v>14</v>
      </c>
      <c r="CM47" s="66">
        <v>1</v>
      </c>
    </row>
    <row r="48" spans="1:152" x14ac:dyDescent="0.3">
      <c r="A48" s="5">
        <v>75523662532</v>
      </c>
      <c r="B48" s="6">
        <v>45880</v>
      </c>
      <c r="C48" s="11">
        <v>0.66954861111111108</v>
      </c>
      <c r="D48" s="5" t="s">
        <v>26</v>
      </c>
      <c r="E48" s="11">
        <v>45888</v>
      </c>
      <c r="F48" s="11">
        <v>0.57494212962962965</v>
      </c>
      <c r="G48" s="5" t="s">
        <v>18</v>
      </c>
      <c r="H48" s="5" t="s">
        <v>18</v>
      </c>
      <c r="I48" s="5" t="s">
        <v>36</v>
      </c>
      <c r="J48" s="5">
        <v>7862407093</v>
      </c>
      <c r="K48" s="5" t="s">
        <v>131</v>
      </c>
      <c r="L48" s="5" t="s">
        <v>132</v>
      </c>
      <c r="M48" s="5" t="s">
        <v>33</v>
      </c>
      <c r="N48" s="5" t="s">
        <v>39</v>
      </c>
      <c r="O48" s="5">
        <v>7</v>
      </c>
      <c r="P48" s="5" t="s">
        <v>24</v>
      </c>
      <c r="Q48" s="5" t="s">
        <v>25</v>
      </c>
      <c r="U48" s="5">
        <v>75842373256</v>
      </c>
      <c r="V48" s="11">
        <v>45879</v>
      </c>
      <c r="W48" s="11">
        <v>0.72920138888888886</v>
      </c>
      <c r="X48" s="5">
        <f t="shared" si="0"/>
        <v>8</v>
      </c>
      <c r="Y48" s="5">
        <f t="shared" si="4"/>
        <v>33</v>
      </c>
      <c r="Z48" s="5">
        <f t="shared" si="5"/>
        <v>10</v>
      </c>
      <c r="AA48" s="5">
        <f t="shared" si="6"/>
        <v>1</v>
      </c>
      <c r="AB48" s="5" t="str">
        <f t="shared" si="7"/>
        <v>17 - 18 hr</v>
      </c>
      <c r="AC48" s="5" t="s">
        <v>17</v>
      </c>
      <c r="AD48" s="11">
        <v>45889</v>
      </c>
      <c r="AE48" s="11">
        <v>0.76089120370370367</v>
      </c>
      <c r="AF48" s="5" t="s">
        <v>18</v>
      </c>
      <c r="AG48" s="5" t="s">
        <v>18</v>
      </c>
      <c r="AH48" s="5" t="s">
        <v>36</v>
      </c>
      <c r="AI48" s="5">
        <v>8201628712</v>
      </c>
      <c r="AJ48" s="5" t="s">
        <v>356</v>
      </c>
      <c r="AK48" s="5" t="s">
        <v>224</v>
      </c>
      <c r="AL48" s="5" t="s">
        <v>33</v>
      </c>
      <c r="AM48" s="5" t="s">
        <v>94</v>
      </c>
      <c r="AN48" s="5">
        <v>2</v>
      </c>
      <c r="AO48" s="5" t="s">
        <v>24</v>
      </c>
      <c r="AP48" s="5" t="s">
        <v>25</v>
      </c>
      <c r="AQ48" s="5">
        <f t="shared" si="1"/>
        <v>240.76055555557832</v>
      </c>
      <c r="AR48" s="5">
        <f t="shared" si="2"/>
        <v>10.029999999999999</v>
      </c>
      <c r="AS48" s="5" t="str">
        <f t="shared" si="3"/>
        <v>9-12 days</v>
      </c>
      <c r="AT48" s="5" t="str">
        <f t="shared" ca="1" si="8"/>
        <v>STATUS-COMPLETE</v>
      </c>
      <c r="AU48" s="5" t="str">
        <f t="shared" ca="1" si="9"/>
        <v>STATUS-COMPLETE</v>
      </c>
      <c r="AZ48" s="2" t="s">
        <v>394</v>
      </c>
      <c r="BA48" s="2" t="s">
        <v>393</v>
      </c>
      <c r="CG48" s="3" t="s">
        <v>203</v>
      </c>
      <c r="CH48" s="64">
        <v>12</v>
      </c>
      <c r="CI48" s="66">
        <v>0.8571428571428571</v>
      </c>
      <c r="CJ48" s="64">
        <v>2</v>
      </c>
      <c r="CK48" s="66">
        <v>0.14285714285714285</v>
      </c>
      <c r="CL48" s="64">
        <v>14</v>
      </c>
      <c r="CM48" s="66">
        <v>1</v>
      </c>
    </row>
    <row r="49" spans="1:91" x14ac:dyDescent="0.3">
      <c r="A49" s="5">
        <v>75528205773</v>
      </c>
      <c r="B49" s="6">
        <v>45887</v>
      </c>
      <c r="C49" s="11">
        <v>0.7388541666666667</v>
      </c>
      <c r="D49" s="5" t="s">
        <v>43</v>
      </c>
      <c r="E49" s="11"/>
      <c r="F49" s="11"/>
      <c r="G49" s="5" t="s">
        <v>18</v>
      </c>
      <c r="H49" s="5" t="s">
        <v>18</v>
      </c>
      <c r="I49" s="5" t="s">
        <v>49</v>
      </c>
      <c r="J49" s="5">
        <v>7770278136</v>
      </c>
      <c r="K49" s="5" t="s">
        <v>341</v>
      </c>
      <c r="L49" s="5" t="s">
        <v>342</v>
      </c>
      <c r="M49" s="5" t="s">
        <v>33</v>
      </c>
      <c r="N49" s="5" t="s">
        <v>52</v>
      </c>
      <c r="O49" s="5">
        <v>7</v>
      </c>
      <c r="P49" s="5" t="s">
        <v>34</v>
      </c>
      <c r="Q49" s="5" t="s">
        <v>35</v>
      </c>
      <c r="U49" s="5">
        <v>75934366139</v>
      </c>
      <c r="V49" s="11">
        <v>45880</v>
      </c>
      <c r="W49" s="11">
        <v>0.75641203703703708</v>
      </c>
      <c r="X49" s="5">
        <f t="shared" si="0"/>
        <v>8</v>
      </c>
      <c r="Y49" s="5">
        <f t="shared" si="4"/>
        <v>33</v>
      </c>
      <c r="Z49" s="5">
        <f t="shared" si="5"/>
        <v>11</v>
      </c>
      <c r="AA49" s="5">
        <f t="shared" si="6"/>
        <v>2</v>
      </c>
      <c r="AB49" s="5" t="str">
        <f t="shared" si="7"/>
        <v>18 - 19 hr</v>
      </c>
      <c r="AC49" s="5" t="s">
        <v>48</v>
      </c>
      <c r="AD49" s="11">
        <v>45890</v>
      </c>
      <c r="AE49" s="11">
        <v>0.65258101851851846</v>
      </c>
      <c r="AF49" s="5" t="s">
        <v>18</v>
      </c>
      <c r="AG49" s="5" t="s">
        <v>18</v>
      </c>
      <c r="AH49" s="5" t="s">
        <v>49</v>
      </c>
      <c r="AI49" s="5">
        <v>9739779525</v>
      </c>
      <c r="AJ49" s="5" t="s">
        <v>124</v>
      </c>
      <c r="AK49" s="5" t="s">
        <v>125</v>
      </c>
      <c r="AL49" s="5" t="s">
        <v>82</v>
      </c>
      <c r="AM49" s="5" t="s">
        <v>86</v>
      </c>
      <c r="AN49" s="5">
        <v>8</v>
      </c>
      <c r="AO49" s="5" t="s">
        <v>24</v>
      </c>
      <c r="AP49" s="5" t="s">
        <v>25</v>
      </c>
      <c r="AQ49" s="5">
        <f t="shared" si="1"/>
        <v>237.50805555557599</v>
      </c>
      <c r="AR49" s="5">
        <f t="shared" si="2"/>
        <v>9.9</v>
      </c>
      <c r="AS49" s="5" t="str">
        <f t="shared" si="3"/>
        <v>9-12 days</v>
      </c>
      <c r="AT49" s="5" t="str">
        <f t="shared" ca="1" si="8"/>
        <v>STATUS-COMPLETE</v>
      </c>
      <c r="AU49" s="5" t="str">
        <f t="shared" ca="1" si="9"/>
        <v>STATUS-COMPLETE</v>
      </c>
      <c r="AZ49" s="2" t="s">
        <v>391</v>
      </c>
      <c r="BA49" t="s">
        <v>24</v>
      </c>
      <c r="BB49" t="s">
        <v>34</v>
      </c>
      <c r="BC49" t="s">
        <v>392</v>
      </c>
      <c r="CG49" s="3" t="s">
        <v>116</v>
      </c>
      <c r="CH49" s="64">
        <v>12</v>
      </c>
      <c r="CI49" s="66">
        <v>0.8571428571428571</v>
      </c>
      <c r="CJ49" s="64">
        <v>2</v>
      </c>
      <c r="CK49" s="66">
        <v>0.14285714285714285</v>
      </c>
      <c r="CL49" s="64">
        <v>14</v>
      </c>
      <c r="CM49" s="66">
        <v>1</v>
      </c>
    </row>
    <row r="50" spans="1:91" x14ac:dyDescent="0.3">
      <c r="A50" s="5">
        <v>75529553265</v>
      </c>
      <c r="B50" s="6">
        <v>45891</v>
      </c>
      <c r="C50" s="11">
        <v>0.84189814814814812</v>
      </c>
      <c r="D50" s="5" t="s">
        <v>17</v>
      </c>
      <c r="E50" s="11">
        <v>45899</v>
      </c>
      <c r="F50" s="11">
        <v>0.55504629629629632</v>
      </c>
      <c r="G50" s="5" t="s">
        <v>18</v>
      </c>
      <c r="H50" s="5" t="s">
        <v>18</v>
      </c>
      <c r="I50" s="5" t="s">
        <v>49</v>
      </c>
      <c r="J50" s="5">
        <v>9301518177</v>
      </c>
      <c r="K50" s="5" t="s">
        <v>84</v>
      </c>
      <c r="L50" s="5" t="s">
        <v>85</v>
      </c>
      <c r="M50" s="5" t="s">
        <v>82</v>
      </c>
      <c r="N50" s="5" t="s">
        <v>86</v>
      </c>
      <c r="O50" s="5">
        <v>10</v>
      </c>
      <c r="P50" s="5" t="s">
        <v>24</v>
      </c>
      <c r="Q50" s="5" t="s">
        <v>25</v>
      </c>
      <c r="U50" s="5">
        <v>75523662532</v>
      </c>
      <c r="V50" s="11">
        <v>45880</v>
      </c>
      <c r="W50" s="11">
        <v>0.66954861111111108</v>
      </c>
      <c r="X50" s="5">
        <f t="shared" si="0"/>
        <v>8</v>
      </c>
      <c r="Y50" s="5">
        <f t="shared" si="4"/>
        <v>33</v>
      </c>
      <c r="Z50" s="5">
        <f t="shared" si="5"/>
        <v>11</v>
      </c>
      <c r="AA50" s="5">
        <f t="shared" si="6"/>
        <v>2</v>
      </c>
      <c r="AB50" s="5" t="str">
        <f t="shared" si="7"/>
        <v>16 - 17 hr</v>
      </c>
      <c r="AC50" s="5" t="s">
        <v>26</v>
      </c>
      <c r="AD50" s="11">
        <v>45888</v>
      </c>
      <c r="AE50" s="11">
        <v>0.57494212962962965</v>
      </c>
      <c r="AF50" s="5" t="s">
        <v>18</v>
      </c>
      <c r="AG50" s="5" t="s">
        <v>18</v>
      </c>
      <c r="AH50" s="5" t="s">
        <v>36</v>
      </c>
      <c r="AI50" s="5">
        <v>7862407093</v>
      </c>
      <c r="AJ50" s="5" t="s">
        <v>131</v>
      </c>
      <c r="AK50" s="5" t="s">
        <v>132</v>
      </c>
      <c r="AL50" s="5" t="s">
        <v>33</v>
      </c>
      <c r="AM50" s="5" t="s">
        <v>39</v>
      </c>
      <c r="AN50" s="5">
        <v>7</v>
      </c>
      <c r="AO50" s="5" t="s">
        <v>24</v>
      </c>
      <c r="AP50" s="5" t="s">
        <v>25</v>
      </c>
      <c r="AQ50" s="5">
        <f t="shared" si="1"/>
        <v>189.72944444435416</v>
      </c>
      <c r="AR50" s="5">
        <f t="shared" si="2"/>
        <v>7.91</v>
      </c>
      <c r="AS50" s="5" t="str">
        <f t="shared" si="3"/>
        <v>5-8 days</v>
      </c>
      <c r="AT50" s="5" t="str">
        <f t="shared" ca="1" si="8"/>
        <v>STATUS-COMPLETE</v>
      </c>
      <c r="AU50" s="5" t="str">
        <f t="shared" ca="1" si="9"/>
        <v>STATUS-COMPLETE</v>
      </c>
      <c r="AZ50" s="3" t="s">
        <v>52</v>
      </c>
      <c r="BA50" s="64">
        <v>14</v>
      </c>
      <c r="BB50" s="64">
        <v>7</v>
      </c>
      <c r="BC50" s="64">
        <v>21</v>
      </c>
      <c r="CG50" s="3" t="s">
        <v>142</v>
      </c>
      <c r="CH50" s="64">
        <v>10</v>
      </c>
      <c r="CI50" s="66">
        <v>1</v>
      </c>
      <c r="CJ50" s="64"/>
      <c r="CK50" s="66">
        <v>0</v>
      </c>
      <c r="CL50" s="64">
        <v>10</v>
      </c>
      <c r="CM50" s="66">
        <v>1</v>
      </c>
    </row>
    <row r="51" spans="1:91" x14ac:dyDescent="0.3">
      <c r="A51" s="5">
        <v>75530861323</v>
      </c>
      <c r="B51" s="6">
        <v>45914</v>
      </c>
      <c r="C51" s="11">
        <v>0.78025462962962966</v>
      </c>
      <c r="D51" s="5" t="s">
        <v>55</v>
      </c>
      <c r="E51" s="11">
        <v>45920</v>
      </c>
      <c r="F51" s="11">
        <v>0.68234953703703705</v>
      </c>
      <c r="G51" s="5" t="s">
        <v>18</v>
      </c>
      <c r="H51" s="5" t="s">
        <v>18</v>
      </c>
      <c r="I51" s="5" t="s">
        <v>19</v>
      </c>
      <c r="J51" s="5">
        <v>8694503971</v>
      </c>
      <c r="K51" s="5" t="s">
        <v>238</v>
      </c>
      <c r="L51" s="5" t="s">
        <v>239</v>
      </c>
      <c r="M51" s="5" t="s">
        <v>33</v>
      </c>
      <c r="N51" s="5" t="s">
        <v>94</v>
      </c>
      <c r="O51" s="5">
        <v>1</v>
      </c>
      <c r="P51" s="5" t="s">
        <v>24</v>
      </c>
      <c r="Q51" s="5" t="s">
        <v>25</v>
      </c>
      <c r="U51" s="5">
        <v>75706090918</v>
      </c>
      <c r="V51" s="11">
        <v>45880</v>
      </c>
      <c r="W51" s="11">
        <v>0.39170138888888889</v>
      </c>
      <c r="X51" s="5">
        <f t="shared" si="0"/>
        <v>8</v>
      </c>
      <c r="Y51" s="5">
        <f t="shared" si="4"/>
        <v>33</v>
      </c>
      <c r="Z51" s="5">
        <f t="shared" si="5"/>
        <v>11</v>
      </c>
      <c r="AA51" s="5">
        <f t="shared" si="6"/>
        <v>2</v>
      </c>
      <c r="AB51" s="5" t="str">
        <f t="shared" si="7"/>
        <v>9 - 10 hr</v>
      </c>
      <c r="AC51" s="5" t="s">
        <v>95</v>
      </c>
      <c r="AD51" s="11"/>
      <c r="AE51" s="11"/>
      <c r="AF51" s="5" t="s">
        <v>18</v>
      </c>
      <c r="AG51" s="5" t="s">
        <v>18</v>
      </c>
      <c r="AH51" s="5" t="s">
        <v>36</v>
      </c>
      <c r="AI51" s="5">
        <v>9457829635</v>
      </c>
      <c r="AJ51" s="5" t="s">
        <v>387</v>
      </c>
      <c r="AK51" s="5" t="s">
        <v>237</v>
      </c>
      <c r="AL51" s="5" t="s">
        <v>22</v>
      </c>
      <c r="AM51" s="5" t="s">
        <v>39</v>
      </c>
      <c r="AN51" s="5">
        <v>9</v>
      </c>
      <c r="AO51" s="5" t="s">
        <v>34</v>
      </c>
      <c r="AP51" s="5" t="s">
        <v>60</v>
      </c>
      <c r="AQ51" s="5" t="str">
        <f t="shared" si="1"/>
        <v>Issue_pending</v>
      </c>
      <c r="AR51" s="5" t="str">
        <f t="shared" si="2"/>
        <v>Issue_pending</v>
      </c>
      <c r="AS51" s="5" t="str">
        <f t="shared" si="3"/>
        <v>Issue_pending</v>
      </c>
      <c r="AT51" s="5">
        <f t="shared" ca="1" si="8"/>
        <v>50</v>
      </c>
      <c r="AU51" s="5" t="str">
        <f t="shared" ca="1" si="9"/>
        <v>&gt;20 days</v>
      </c>
      <c r="AZ51" s="3" t="s">
        <v>86</v>
      </c>
      <c r="BA51" s="64">
        <v>14</v>
      </c>
      <c r="BB51" s="64">
        <v>5</v>
      </c>
      <c r="BC51" s="64">
        <v>19</v>
      </c>
      <c r="CG51" s="3" t="s">
        <v>392</v>
      </c>
      <c r="CH51" s="64">
        <v>166</v>
      </c>
      <c r="CI51" s="66">
        <v>0.73777777777777775</v>
      </c>
      <c r="CJ51" s="64">
        <v>59</v>
      </c>
      <c r="CK51" s="66">
        <v>0.26222222222222225</v>
      </c>
      <c r="CL51" s="64">
        <v>225</v>
      </c>
      <c r="CM51" s="66">
        <v>1</v>
      </c>
    </row>
    <row r="52" spans="1:91" x14ac:dyDescent="0.3">
      <c r="A52" s="5">
        <v>75531244840</v>
      </c>
      <c r="B52" s="6">
        <v>45917</v>
      </c>
      <c r="C52" s="11">
        <v>0.64091435185185186</v>
      </c>
      <c r="D52" s="5" t="s">
        <v>55</v>
      </c>
      <c r="E52" s="11">
        <v>45920</v>
      </c>
      <c r="F52" s="11">
        <v>0.71084490740740736</v>
      </c>
      <c r="G52" s="5" t="s">
        <v>18</v>
      </c>
      <c r="H52" s="5" t="s">
        <v>18</v>
      </c>
      <c r="I52" s="5" t="s">
        <v>27</v>
      </c>
      <c r="J52" s="5">
        <v>7220959215</v>
      </c>
      <c r="K52" s="5" t="s">
        <v>153</v>
      </c>
      <c r="L52" s="5" t="s">
        <v>119</v>
      </c>
      <c r="M52" s="5" t="s">
        <v>33</v>
      </c>
      <c r="N52" s="5" t="s">
        <v>116</v>
      </c>
      <c r="O52" s="5">
        <v>6</v>
      </c>
      <c r="P52" s="5" t="s">
        <v>24</v>
      </c>
      <c r="Q52" s="5" t="s">
        <v>25</v>
      </c>
      <c r="U52" s="5">
        <v>75879182105</v>
      </c>
      <c r="V52" s="11">
        <v>45881</v>
      </c>
      <c r="W52" s="11">
        <v>0.52729166666666671</v>
      </c>
      <c r="X52" s="5">
        <f t="shared" si="0"/>
        <v>8</v>
      </c>
      <c r="Y52" s="5">
        <f t="shared" si="4"/>
        <v>33</v>
      </c>
      <c r="Z52" s="5">
        <f t="shared" si="5"/>
        <v>12</v>
      </c>
      <c r="AA52" s="5">
        <f t="shared" si="6"/>
        <v>3</v>
      </c>
      <c r="AB52" s="5" t="str">
        <f t="shared" si="7"/>
        <v>12 - 13 hr</v>
      </c>
      <c r="AC52" s="5" t="s">
        <v>48</v>
      </c>
      <c r="AD52" s="11">
        <v>45888</v>
      </c>
      <c r="AE52" s="11">
        <v>0.71337962962962964</v>
      </c>
      <c r="AF52" s="5" t="s">
        <v>18</v>
      </c>
      <c r="AG52" s="5" t="s">
        <v>18</v>
      </c>
      <c r="AH52" s="5" t="s">
        <v>49</v>
      </c>
      <c r="AI52" s="5">
        <v>7859759428</v>
      </c>
      <c r="AJ52" s="5" t="s">
        <v>207</v>
      </c>
      <c r="AK52" s="5" t="s">
        <v>208</v>
      </c>
      <c r="AL52" s="5" t="s">
        <v>33</v>
      </c>
      <c r="AM52" s="5" t="s">
        <v>102</v>
      </c>
      <c r="AN52" s="5">
        <v>7</v>
      </c>
      <c r="AO52" s="5" t="s">
        <v>24</v>
      </c>
      <c r="AP52" s="5" t="s">
        <v>25</v>
      </c>
      <c r="AQ52" s="5">
        <f t="shared" si="1"/>
        <v>172.46611111122184</v>
      </c>
      <c r="AR52" s="5">
        <f t="shared" si="2"/>
        <v>7.19</v>
      </c>
      <c r="AS52" s="5" t="str">
        <f t="shared" si="3"/>
        <v>5-8 days</v>
      </c>
      <c r="AT52" s="5" t="str">
        <f t="shared" ca="1" si="8"/>
        <v>STATUS-COMPLETE</v>
      </c>
      <c r="AU52" s="5" t="str">
        <f t="shared" ca="1" si="9"/>
        <v>STATUS-COMPLETE</v>
      </c>
      <c r="AZ52" s="3" t="s">
        <v>23</v>
      </c>
      <c r="BA52" s="64">
        <v>9</v>
      </c>
      <c r="BB52" s="64">
        <v>9</v>
      </c>
      <c r="BC52" s="64">
        <v>18</v>
      </c>
    </row>
    <row r="53" spans="1:91" x14ac:dyDescent="0.3">
      <c r="A53" s="5">
        <v>75533316990</v>
      </c>
      <c r="B53" s="6">
        <v>45910</v>
      </c>
      <c r="C53" s="11">
        <v>0.71480324074074075</v>
      </c>
      <c r="D53" s="5" t="s">
        <v>95</v>
      </c>
      <c r="E53" s="11">
        <v>45913</v>
      </c>
      <c r="F53" s="11">
        <v>0.64789351851851851</v>
      </c>
      <c r="G53" s="5" t="s">
        <v>18</v>
      </c>
      <c r="H53" s="5" t="s">
        <v>18</v>
      </c>
      <c r="I53" s="5" t="s">
        <v>27</v>
      </c>
      <c r="J53" s="5">
        <v>7695642802</v>
      </c>
      <c r="K53" s="5" t="s">
        <v>213</v>
      </c>
      <c r="L53" s="5" t="s">
        <v>214</v>
      </c>
      <c r="M53" s="5" t="s">
        <v>22</v>
      </c>
      <c r="N53" s="5" t="s">
        <v>203</v>
      </c>
      <c r="O53" s="5">
        <v>6</v>
      </c>
      <c r="P53" s="5" t="s">
        <v>24</v>
      </c>
      <c r="Q53" s="5" t="s">
        <v>35</v>
      </c>
      <c r="U53" s="5">
        <v>75414810579</v>
      </c>
      <c r="V53" s="11">
        <v>45881</v>
      </c>
      <c r="W53" s="11">
        <v>0.55071759259259256</v>
      </c>
      <c r="X53" s="5">
        <f t="shared" si="0"/>
        <v>8</v>
      </c>
      <c r="Y53" s="5">
        <f t="shared" si="4"/>
        <v>33</v>
      </c>
      <c r="Z53" s="5">
        <f t="shared" si="5"/>
        <v>12</v>
      </c>
      <c r="AA53" s="5">
        <f t="shared" si="6"/>
        <v>3</v>
      </c>
      <c r="AB53" s="5" t="str">
        <f t="shared" si="7"/>
        <v>13 - 14 hr</v>
      </c>
      <c r="AC53" s="5" t="s">
        <v>43</v>
      </c>
      <c r="AD53" s="11"/>
      <c r="AE53" s="11"/>
      <c r="AF53" s="5" t="s">
        <v>18</v>
      </c>
      <c r="AG53" s="5" t="s">
        <v>18</v>
      </c>
      <c r="AH53" s="5" t="s">
        <v>27</v>
      </c>
      <c r="AI53" s="5">
        <v>8709289717</v>
      </c>
      <c r="AJ53" s="5" t="s">
        <v>332</v>
      </c>
      <c r="AK53" s="5" t="s">
        <v>319</v>
      </c>
      <c r="AL53" s="5" t="s">
        <v>22</v>
      </c>
      <c r="AM53" s="5" t="s">
        <v>23</v>
      </c>
      <c r="AN53" s="5">
        <v>2</v>
      </c>
      <c r="AO53" s="5" t="s">
        <v>34</v>
      </c>
      <c r="AP53" s="5" t="s">
        <v>67</v>
      </c>
      <c r="AQ53" s="5" t="str">
        <f t="shared" si="1"/>
        <v>Issue_pending</v>
      </c>
      <c r="AR53" s="5" t="str">
        <f t="shared" si="2"/>
        <v>Issue_pending</v>
      </c>
      <c r="AS53" s="5" t="str">
        <f t="shared" si="3"/>
        <v>Issue_pending</v>
      </c>
      <c r="AT53" s="5">
        <f t="shared" ca="1" si="8"/>
        <v>49</v>
      </c>
      <c r="AU53" s="5" t="str">
        <f t="shared" ca="1" si="9"/>
        <v>&gt;20 days</v>
      </c>
      <c r="AZ53" s="3" t="s">
        <v>42</v>
      </c>
      <c r="BA53" s="64">
        <v>16</v>
      </c>
      <c r="BB53" s="64">
        <v>2</v>
      </c>
      <c r="BC53" s="64">
        <v>18</v>
      </c>
    </row>
    <row r="54" spans="1:91" x14ac:dyDescent="0.3">
      <c r="A54" s="5">
        <v>75534568604</v>
      </c>
      <c r="B54" s="6">
        <v>45889</v>
      </c>
      <c r="C54" s="11">
        <v>0.61185185185185187</v>
      </c>
      <c r="D54" s="5" t="s">
        <v>48</v>
      </c>
      <c r="E54" s="11">
        <v>45901</v>
      </c>
      <c r="F54" s="11">
        <v>0.68988425925925922</v>
      </c>
      <c r="G54" s="5" t="s">
        <v>18</v>
      </c>
      <c r="H54" s="5" t="s">
        <v>18</v>
      </c>
      <c r="I54" s="5" t="s">
        <v>27</v>
      </c>
      <c r="J54" s="5">
        <v>9000738353</v>
      </c>
      <c r="K54" s="5" t="s">
        <v>212</v>
      </c>
      <c r="L54" s="5" t="s">
        <v>54</v>
      </c>
      <c r="M54" s="5" t="s">
        <v>29</v>
      </c>
      <c r="N54" s="5" t="s">
        <v>42</v>
      </c>
      <c r="O54" s="5">
        <v>2</v>
      </c>
      <c r="P54" s="5" t="s">
        <v>24</v>
      </c>
      <c r="Q54" s="5" t="s">
        <v>25</v>
      </c>
      <c r="U54" s="5">
        <v>75606938058</v>
      </c>
      <c r="V54" s="11">
        <v>45881</v>
      </c>
      <c r="W54" s="11">
        <v>0.46003472222222225</v>
      </c>
      <c r="X54" s="5">
        <f t="shared" si="0"/>
        <v>8</v>
      </c>
      <c r="Y54" s="5">
        <f t="shared" si="4"/>
        <v>33</v>
      </c>
      <c r="Z54" s="5">
        <f t="shared" si="5"/>
        <v>12</v>
      </c>
      <c r="AA54" s="5">
        <f t="shared" si="6"/>
        <v>3</v>
      </c>
      <c r="AB54" s="5" t="str">
        <f t="shared" si="7"/>
        <v>11 - 12 hr</v>
      </c>
      <c r="AC54" s="5" t="str">
        <f>"Unknown_Handler"</f>
        <v>Unknown_Handler</v>
      </c>
      <c r="AD54" s="11"/>
      <c r="AE54" s="11"/>
      <c r="AF54" s="5" t="s">
        <v>18</v>
      </c>
      <c r="AG54" s="5" t="s">
        <v>18</v>
      </c>
      <c r="AH54" s="5" t="s">
        <v>49</v>
      </c>
      <c r="AI54" s="5">
        <v>9934001543</v>
      </c>
      <c r="AJ54" s="5" t="s">
        <v>379</v>
      </c>
      <c r="AK54" s="5" t="s">
        <v>218</v>
      </c>
      <c r="AL54" s="5" t="s">
        <v>82</v>
      </c>
      <c r="AM54" s="5" t="s">
        <v>66</v>
      </c>
      <c r="AN54" s="5">
        <v>5</v>
      </c>
      <c r="AO54" s="5" t="s">
        <v>34</v>
      </c>
      <c r="AP54" s="5" t="s">
        <v>67</v>
      </c>
      <c r="AQ54" s="5" t="str">
        <f t="shared" si="1"/>
        <v>Issue_pending</v>
      </c>
      <c r="AR54" s="5" t="str">
        <f t="shared" si="2"/>
        <v>Issue_pending</v>
      </c>
      <c r="AS54" s="5" t="str">
        <f t="shared" si="3"/>
        <v>Issue_pending</v>
      </c>
      <c r="AT54" s="5">
        <f t="shared" ca="1" si="8"/>
        <v>49</v>
      </c>
      <c r="AU54" s="5" t="str">
        <f t="shared" ca="1" si="9"/>
        <v>&gt;20 days</v>
      </c>
      <c r="AZ54" s="3" t="s">
        <v>39</v>
      </c>
      <c r="BA54" s="64">
        <v>13</v>
      </c>
      <c r="BB54" s="64">
        <v>5</v>
      </c>
      <c r="BC54" s="64">
        <v>18</v>
      </c>
      <c r="CH54" s="2" t="s">
        <v>393</v>
      </c>
    </row>
    <row r="55" spans="1:91" x14ac:dyDescent="0.3">
      <c r="A55" s="5">
        <v>75535497187</v>
      </c>
      <c r="B55" s="6">
        <v>45874</v>
      </c>
      <c r="C55" s="11">
        <v>0.56921296296296298</v>
      </c>
      <c r="D55" s="5" t="s">
        <v>58</v>
      </c>
      <c r="E55" s="11"/>
      <c r="F55" s="11"/>
      <c r="G55" s="5" t="s">
        <v>18</v>
      </c>
      <c r="H55" s="5" t="s">
        <v>18</v>
      </c>
      <c r="I55" s="5" t="s">
        <v>27</v>
      </c>
      <c r="J55" s="5">
        <v>9355172948</v>
      </c>
      <c r="K55" s="5" t="s">
        <v>148</v>
      </c>
      <c r="L55" s="5" t="s">
        <v>32</v>
      </c>
      <c r="M55" s="5" t="s">
        <v>82</v>
      </c>
      <c r="N55" s="5" t="s">
        <v>23</v>
      </c>
      <c r="O55" s="5">
        <v>3</v>
      </c>
      <c r="P55" s="5" t="s">
        <v>34</v>
      </c>
      <c r="Q55" s="5" t="s">
        <v>60</v>
      </c>
      <c r="U55" s="5">
        <v>75898165815</v>
      </c>
      <c r="V55" s="11">
        <v>45882</v>
      </c>
      <c r="W55" s="11">
        <v>0.7837615740740741</v>
      </c>
      <c r="X55" s="5">
        <f t="shared" si="0"/>
        <v>8</v>
      </c>
      <c r="Y55" s="5">
        <f t="shared" si="4"/>
        <v>33</v>
      </c>
      <c r="Z55" s="5">
        <f t="shared" si="5"/>
        <v>13</v>
      </c>
      <c r="AA55" s="5">
        <f t="shared" si="6"/>
        <v>4</v>
      </c>
      <c r="AB55" s="5" t="str">
        <f t="shared" si="7"/>
        <v>18 - 19 hr</v>
      </c>
      <c r="AC55" s="5" t="s">
        <v>48</v>
      </c>
      <c r="AD55" s="11">
        <v>45885</v>
      </c>
      <c r="AE55" s="11">
        <v>0.42487268518518517</v>
      </c>
      <c r="AF55" s="5" t="s">
        <v>18</v>
      </c>
      <c r="AG55" s="5" t="s">
        <v>18</v>
      </c>
      <c r="AH55" s="5" t="s">
        <v>27</v>
      </c>
      <c r="AI55" s="5">
        <v>9925445989</v>
      </c>
      <c r="AJ55" s="5" t="s">
        <v>168</v>
      </c>
      <c r="AK55" s="5" t="s">
        <v>89</v>
      </c>
      <c r="AL55" s="5" t="s">
        <v>29</v>
      </c>
      <c r="AM55" s="5" t="s">
        <v>76</v>
      </c>
      <c r="AN55" s="5">
        <v>8</v>
      </c>
      <c r="AO55" s="5" t="s">
        <v>24</v>
      </c>
      <c r="AP55" s="5" t="s">
        <v>25</v>
      </c>
      <c r="AQ55" s="5">
        <f t="shared" si="1"/>
        <v>63.386666666774545</v>
      </c>
      <c r="AR55" s="5">
        <f t="shared" si="2"/>
        <v>2.64</v>
      </c>
      <c r="AS55" s="5" t="str">
        <f t="shared" si="3"/>
        <v>1-4 days</v>
      </c>
      <c r="AT55" s="5" t="str">
        <f t="shared" ca="1" si="8"/>
        <v>STATUS-COMPLETE</v>
      </c>
      <c r="AU55" s="5" t="str">
        <f t="shared" ca="1" si="9"/>
        <v>STATUS-COMPLETE</v>
      </c>
      <c r="AZ55" s="3" t="s">
        <v>94</v>
      </c>
      <c r="BA55" s="64">
        <v>14</v>
      </c>
      <c r="BB55" s="64">
        <v>3</v>
      </c>
      <c r="BC55" s="64">
        <v>17</v>
      </c>
      <c r="CH55" t="s">
        <v>24</v>
      </c>
      <c r="CJ55" t="s">
        <v>34</v>
      </c>
      <c r="CL55" t="s">
        <v>679</v>
      </c>
      <c r="CM55" t="s">
        <v>677</v>
      </c>
    </row>
    <row r="56" spans="1:91" x14ac:dyDescent="0.3">
      <c r="A56" s="5">
        <v>75537039296</v>
      </c>
      <c r="B56" s="6">
        <v>45871</v>
      </c>
      <c r="C56" s="11">
        <v>0.77362268518518518</v>
      </c>
      <c r="D56" s="5" t="s">
        <v>55</v>
      </c>
      <c r="E56" s="11">
        <v>45882</v>
      </c>
      <c r="F56" s="11">
        <v>0.65706018518518516</v>
      </c>
      <c r="G56" s="5" t="s">
        <v>18</v>
      </c>
      <c r="H56" s="5" t="s">
        <v>18</v>
      </c>
      <c r="I56" s="5" t="s">
        <v>19</v>
      </c>
      <c r="J56" s="5">
        <v>9542160120</v>
      </c>
      <c r="K56" s="5" t="s">
        <v>61</v>
      </c>
      <c r="L56" s="5" t="s">
        <v>62</v>
      </c>
      <c r="M56" s="5" t="s">
        <v>29</v>
      </c>
      <c r="N56" s="5" t="s">
        <v>63</v>
      </c>
      <c r="O56" s="5">
        <v>1</v>
      </c>
      <c r="P56" s="5" t="s">
        <v>24</v>
      </c>
      <c r="Q56" s="5" t="s">
        <v>25</v>
      </c>
      <c r="U56" s="5">
        <v>75829520110</v>
      </c>
      <c r="V56" s="11">
        <v>45882</v>
      </c>
      <c r="W56" s="11">
        <v>0.85343749999999996</v>
      </c>
      <c r="X56" s="5">
        <f t="shared" si="0"/>
        <v>8</v>
      </c>
      <c r="Y56" s="5">
        <f t="shared" si="4"/>
        <v>33</v>
      </c>
      <c r="Z56" s="5">
        <f t="shared" si="5"/>
        <v>13</v>
      </c>
      <c r="AA56" s="5">
        <f t="shared" si="6"/>
        <v>4</v>
      </c>
      <c r="AB56" s="5" t="str">
        <f t="shared" si="7"/>
        <v>20 - 21 hr</v>
      </c>
      <c r="AC56" s="5" t="s">
        <v>55</v>
      </c>
      <c r="AD56" s="11">
        <v>45883</v>
      </c>
      <c r="AE56" s="11">
        <v>0.59521990740740738</v>
      </c>
      <c r="AF56" s="5" t="s">
        <v>18</v>
      </c>
      <c r="AG56" s="5" t="s">
        <v>18</v>
      </c>
      <c r="AH56" s="5" t="s">
        <v>36</v>
      </c>
      <c r="AI56" s="5">
        <v>8456151216</v>
      </c>
      <c r="AJ56" s="5" t="s">
        <v>198</v>
      </c>
      <c r="AK56" s="5" t="s">
        <v>98</v>
      </c>
      <c r="AL56" s="5" t="s">
        <v>33</v>
      </c>
      <c r="AM56" s="5" t="s">
        <v>23</v>
      </c>
      <c r="AN56" s="5">
        <v>8</v>
      </c>
      <c r="AO56" s="5" t="s">
        <v>24</v>
      </c>
      <c r="AP56" s="5" t="s">
        <v>25</v>
      </c>
      <c r="AQ56" s="5">
        <f t="shared" si="1"/>
        <v>17.802777777775191</v>
      </c>
      <c r="AR56" s="5">
        <f t="shared" si="2"/>
        <v>0.74</v>
      </c>
      <c r="AS56" s="5" t="str">
        <f t="shared" si="3"/>
        <v>1-4 days</v>
      </c>
      <c r="AT56" s="5" t="str">
        <f t="shared" ca="1" si="8"/>
        <v>STATUS-COMPLETE</v>
      </c>
      <c r="AU56" s="5" t="str">
        <f t="shared" ca="1" si="9"/>
        <v>STATUS-COMPLETE</v>
      </c>
      <c r="AZ56" s="3" t="s">
        <v>102</v>
      </c>
      <c r="BA56" s="64">
        <v>11</v>
      </c>
      <c r="BB56" s="64">
        <v>5</v>
      </c>
      <c r="BC56" s="64">
        <v>16</v>
      </c>
      <c r="CG56" s="2" t="s">
        <v>391</v>
      </c>
      <c r="CH56" t="s">
        <v>680</v>
      </c>
      <c r="CI56" t="s">
        <v>678</v>
      </c>
      <c r="CJ56" t="s">
        <v>680</v>
      </c>
      <c r="CK56" t="s">
        <v>678</v>
      </c>
    </row>
    <row r="57" spans="1:91" x14ac:dyDescent="0.3">
      <c r="A57" s="5">
        <v>75538288872</v>
      </c>
      <c r="B57" s="6">
        <v>45874</v>
      </c>
      <c r="C57" s="11">
        <v>0.45687499999999998</v>
      </c>
      <c r="D57" s="5" t="s">
        <v>78</v>
      </c>
      <c r="E57" s="11">
        <v>45876</v>
      </c>
      <c r="F57" s="11">
        <v>0.54005787037037034</v>
      </c>
      <c r="G57" s="5" t="s">
        <v>18</v>
      </c>
      <c r="H57" s="5" t="s">
        <v>18</v>
      </c>
      <c r="I57" s="5" t="s">
        <v>27</v>
      </c>
      <c r="J57" s="5">
        <v>7526252306</v>
      </c>
      <c r="K57" s="5" t="s">
        <v>354</v>
      </c>
      <c r="L57" s="5" t="s">
        <v>220</v>
      </c>
      <c r="M57" s="5" t="s">
        <v>29</v>
      </c>
      <c r="N57" s="5" t="s">
        <v>203</v>
      </c>
      <c r="O57" s="5">
        <v>1</v>
      </c>
      <c r="P57" s="5" t="s">
        <v>24</v>
      </c>
      <c r="Q57" s="5" t="s">
        <v>25</v>
      </c>
      <c r="U57" s="5">
        <v>75428222260</v>
      </c>
      <c r="V57" s="11">
        <v>45882</v>
      </c>
      <c r="W57" s="11">
        <v>0.60805555555555557</v>
      </c>
      <c r="X57" s="5">
        <f t="shared" si="0"/>
        <v>8</v>
      </c>
      <c r="Y57" s="5">
        <f t="shared" si="4"/>
        <v>33</v>
      </c>
      <c r="Z57" s="5">
        <f t="shared" si="5"/>
        <v>13</v>
      </c>
      <c r="AA57" s="5">
        <f t="shared" si="6"/>
        <v>4</v>
      </c>
      <c r="AB57" s="5" t="str">
        <f t="shared" si="7"/>
        <v>14 - 15 hr</v>
      </c>
      <c r="AC57" s="5" t="s">
        <v>78</v>
      </c>
      <c r="AD57" s="11"/>
      <c r="AE57" s="11"/>
      <c r="AF57" s="5" t="s">
        <v>18</v>
      </c>
      <c r="AG57" s="5" t="s">
        <v>18</v>
      </c>
      <c r="AH57" s="5" t="s">
        <v>27</v>
      </c>
      <c r="AI57" s="5">
        <v>9007492791</v>
      </c>
      <c r="AJ57" s="5" t="s">
        <v>211</v>
      </c>
      <c r="AK57" s="5" t="s">
        <v>123</v>
      </c>
      <c r="AL57" s="5" t="s">
        <v>29</v>
      </c>
      <c r="AM57" s="5" t="s">
        <v>76</v>
      </c>
      <c r="AN57" s="5">
        <v>6</v>
      </c>
      <c r="AO57" s="5" t="s">
        <v>34</v>
      </c>
      <c r="AP57" s="5" t="s">
        <v>67</v>
      </c>
      <c r="AQ57" s="5" t="str">
        <f t="shared" si="1"/>
        <v>Issue_pending</v>
      </c>
      <c r="AR57" s="5" t="str">
        <f t="shared" si="2"/>
        <v>Issue_pending</v>
      </c>
      <c r="AS57" s="5" t="str">
        <f t="shared" si="3"/>
        <v>Issue_pending</v>
      </c>
      <c r="AT57" s="5">
        <f t="shared" ca="1" si="8"/>
        <v>48</v>
      </c>
      <c r="AU57" s="5" t="str">
        <f t="shared" ca="1" si="9"/>
        <v>&gt;20 days</v>
      </c>
      <c r="AZ57" s="3" t="s">
        <v>63</v>
      </c>
      <c r="BA57" s="64">
        <v>12</v>
      </c>
      <c r="BB57" s="64">
        <v>4</v>
      </c>
      <c r="BC57" s="64">
        <v>16</v>
      </c>
      <c r="CG57" s="3" t="s">
        <v>55</v>
      </c>
      <c r="CH57" s="64">
        <v>32</v>
      </c>
      <c r="CI57" s="66">
        <v>0.84210526315789469</v>
      </c>
      <c r="CJ57" s="64">
        <v>6</v>
      </c>
      <c r="CK57" s="66">
        <v>0.15789473684210525</v>
      </c>
      <c r="CL57" s="64">
        <v>38</v>
      </c>
      <c r="CM57" s="66">
        <v>1</v>
      </c>
    </row>
    <row r="58" spans="1:91" x14ac:dyDescent="0.3">
      <c r="A58" s="5">
        <v>75538460786</v>
      </c>
      <c r="B58" s="6">
        <v>45912</v>
      </c>
      <c r="C58" s="11">
        <v>0.78130787037037042</v>
      </c>
      <c r="D58" s="5" t="s">
        <v>30</v>
      </c>
      <c r="E58" s="11">
        <v>45918</v>
      </c>
      <c r="F58" s="11">
        <v>0.57064814814814813</v>
      </c>
      <c r="G58" s="5" t="s">
        <v>18</v>
      </c>
      <c r="H58" s="5" t="s">
        <v>18</v>
      </c>
      <c r="I58" s="5" t="s">
        <v>49</v>
      </c>
      <c r="J58" s="5">
        <v>9400552009</v>
      </c>
      <c r="K58" s="5" t="s">
        <v>176</v>
      </c>
      <c r="L58" s="5" t="s">
        <v>177</v>
      </c>
      <c r="M58" s="5" t="s">
        <v>29</v>
      </c>
      <c r="N58" s="5" t="s">
        <v>102</v>
      </c>
      <c r="O58" s="5">
        <v>8</v>
      </c>
      <c r="P58" s="5" t="s">
        <v>24</v>
      </c>
      <c r="Q58" s="5" t="s">
        <v>25</v>
      </c>
      <c r="U58" s="5">
        <v>75807903732</v>
      </c>
      <c r="V58" s="11">
        <v>45882</v>
      </c>
      <c r="W58" s="11">
        <v>0.60302083333333334</v>
      </c>
      <c r="X58" s="5">
        <f t="shared" si="0"/>
        <v>8</v>
      </c>
      <c r="Y58" s="5">
        <f t="shared" si="4"/>
        <v>33</v>
      </c>
      <c r="Z58" s="5">
        <f t="shared" si="5"/>
        <v>13</v>
      </c>
      <c r="AA58" s="5">
        <f t="shared" si="6"/>
        <v>4</v>
      </c>
      <c r="AB58" s="5" t="str">
        <f t="shared" si="7"/>
        <v>14 - 15 hr</v>
      </c>
      <c r="AC58" s="5" t="s">
        <v>55</v>
      </c>
      <c r="AD58" s="11">
        <v>45885</v>
      </c>
      <c r="AE58" s="11">
        <v>0.54195601851851849</v>
      </c>
      <c r="AF58" s="5" t="s">
        <v>18</v>
      </c>
      <c r="AG58" s="5" t="s">
        <v>18</v>
      </c>
      <c r="AH58" s="5" t="s">
        <v>49</v>
      </c>
      <c r="AI58" s="5">
        <v>9796181989</v>
      </c>
      <c r="AJ58" s="5" t="s">
        <v>292</v>
      </c>
      <c r="AK58" s="5" t="s">
        <v>208</v>
      </c>
      <c r="AL58" s="5" t="s">
        <v>33</v>
      </c>
      <c r="AM58" s="5" t="s">
        <v>102</v>
      </c>
      <c r="AN58" s="5">
        <v>5</v>
      </c>
      <c r="AO58" s="5" t="s">
        <v>24</v>
      </c>
      <c r="AP58" s="5" t="s">
        <v>25</v>
      </c>
      <c r="AQ58" s="5">
        <f t="shared" si="1"/>
        <v>70.534444444463588</v>
      </c>
      <c r="AR58" s="5">
        <f t="shared" si="2"/>
        <v>2.94</v>
      </c>
      <c r="AS58" s="5" t="str">
        <f t="shared" si="3"/>
        <v>1-4 days</v>
      </c>
      <c r="AT58" s="5" t="str">
        <f t="shared" ca="1" si="8"/>
        <v>STATUS-COMPLETE</v>
      </c>
      <c r="AU58" s="5" t="str">
        <f t="shared" ca="1" si="9"/>
        <v>STATUS-COMPLETE</v>
      </c>
      <c r="AZ58" s="3" t="s">
        <v>76</v>
      </c>
      <c r="BA58" s="64">
        <v>11</v>
      </c>
      <c r="BB58" s="64">
        <v>5</v>
      </c>
      <c r="BC58" s="64">
        <v>16</v>
      </c>
      <c r="CG58" s="3" t="s">
        <v>30</v>
      </c>
      <c r="CH58" s="64">
        <v>17</v>
      </c>
      <c r="CI58" s="66">
        <v>0.68</v>
      </c>
      <c r="CJ58" s="64">
        <v>8</v>
      </c>
      <c r="CK58" s="66">
        <v>0.32</v>
      </c>
      <c r="CL58" s="64">
        <v>25</v>
      </c>
      <c r="CM58" s="66">
        <v>1</v>
      </c>
    </row>
    <row r="59" spans="1:91" x14ac:dyDescent="0.3">
      <c r="A59" s="5">
        <v>75538712095</v>
      </c>
      <c r="B59" s="6">
        <v>45918</v>
      </c>
      <c r="C59" s="11">
        <v>0.64913194444444444</v>
      </c>
      <c r="D59" s="5" t="s">
        <v>26</v>
      </c>
      <c r="E59" s="11">
        <v>45924</v>
      </c>
      <c r="F59" s="11">
        <v>0.41702546296296295</v>
      </c>
      <c r="G59" s="5" t="s">
        <v>18</v>
      </c>
      <c r="H59" s="5" t="s">
        <v>18</v>
      </c>
      <c r="I59" s="5" t="s">
        <v>49</v>
      </c>
      <c r="J59" s="5">
        <v>9148610411</v>
      </c>
      <c r="K59" s="5" t="s">
        <v>161</v>
      </c>
      <c r="L59" s="5" t="s">
        <v>162</v>
      </c>
      <c r="M59" s="5" t="s">
        <v>29</v>
      </c>
      <c r="N59" s="5" t="s">
        <v>94</v>
      </c>
      <c r="O59" s="5">
        <v>8</v>
      </c>
      <c r="P59" s="5" t="s">
        <v>24</v>
      </c>
      <c r="Q59" s="5" t="s">
        <v>25</v>
      </c>
      <c r="U59" s="5">
        <v>75895663087</v>
      </c>
      <c r="V59" s="11">
        <v>45882</v>
      </c>
      <c r="W59" s="11">
        <v>0.8426851851851852</v>
      </c>
      <c r="X59" s="5">
        <f t="shared" si="0"/>
        <v>8</v>
      </c>
      <c r="Y59" s="5">
        <f t="shared" si="4"/>
        <v>33</v>
      </c>
      <c r="Z59" s="5">
        <f t="shared" si="5"/>
        <v>13</v>
      </c>
      <c r="AA59" s="5">
        <f t="shared" si="6"/>
        <v>4</v>
      </c>
      <c r="AB59" s="5" t="str">
        <f t="shared" si="7"/>
        <v>20 - 21 hr</v>
      </c>
      <c r="AC59" s="5" t="s">
        <v>30</v>
      </c>
      <c r="AD59" s="11">
        <v>45891</v>
      </c>
      <c r="AE59" s="11">
        <v>0.48876157407407406</v>
      </c>
      <c r="AF59" s="5" t="s">
        <v>18</v>
      </c>
      <c r="AG59" s="5" t="s">
        <v>18</v>
      </c>
      <c r="AH59" s="5" t="s">
        <v>49</v>
      </c>
      <c r="AI59" s="5">
        <v>9975704877</v>
      </c>
      <c r="AJ59" s="5" t="s">
        <v>294</v>
      </c>
      <c r="AK59" s="5" t="s">
        <v>271</v>
      </c>
      <c r="AL59" s="5" t="s">
        <v>22</v>
      </c>
      <c r="AM59" s="5" t="s">
        <v>102</v>
      </c>
      <c r="AN59" s="5">
        <v>5</v>
      </c>
      <c r="AO59" s="5" t="s">
        <v>24</v>
      </c>
      <c r="AP59" s="5" t="s">
        <v>25</v>
      </c>
      <c r="AQ59" s="5">
        <f t="shared" si="1"/>
        <v>207.50583333335817</v>
      </c>
      <c r="AR59" s="5">
        <f t="shared" si="2"/>
        <v>8.65</v>
      </c>
      <c r="AS59" s="5" t="str">
        <f t="shared" si="3"/>
        <v>9-12 days</v>
      </c>
      <c r="AT59" s="5" t="str">
        <f t="shared" ca="1" si="8"/>
        <v>STATUS-COMPLETE</v>
      </c>
      <c r="AU59" s="5" t="str">
        <f t="shared" ca="1" si="9"/>
        <v>STATUS-COMPLETE</v>
      </c>
      <c r="AZ59" s="3" t="s">
        <v>66</v>
      </c>
      <c r="BA59" s="64">
        <v>9</v>
      </c>
      <c r="BB59" s="64">
        <v>5</v>
      </c>
      <c r="BC59" s="64">
        <v>14</v>
      </c>
      <c r="CG59" s="3" t="s">
        <v>78</v>
      </c>
      <c r="CH59" s="64">
        <v>18</v>
      </c>
      <c r="CI59" s="66">
        <v>0.78260869565217395</v>
      </c>
      <c r="CJ59" s="64">
        <v>5</v>
      </c>
      <c r="CK59" s="66">
        <v>0.21739130434782608</v>
      </c>
      <c r="CL59" s="64">
        <v>23</v>
      </c>
      <c r="CM59" s="66">
        <v>1</v>
      </c>
    </row>
    <row r="60" spans="1:91" x14ac:dyDescent="0.3">
      <c r="A60" s="5">
        <v>75540712839</v>
      </c>
      <c r="B60" s="6">
        <v>45878</v>
      </c>
      <c r="C60" s="11">
        <v>0.76677083333333329</v>
      </c>
      <c r="D60" s="5" t="s">
        <v>95</v>
      </c>
      <c r="E60" s="11"/>
      <c r="F60" s="11"/>
      <c r="G60" s="5" t="s">
        <v>18</v>
      </c>
      <c r="H60" s="5" t="s">
        <v>18</v>
      </c>
      <c r="I60" s="5" t="s">
        <v>19</v>
      </c>
      <c r="J60" s="5">
        <v>7776727492</v>
      </c>
      <c r="K60" s="5" t="s">
        <v>179</v>
      </c>
      <c r="L60" s="5" t="s">
        <v>180</v>
      </c>
      <c r="M60" s="5" t="s">
        <v>22</v>
      </c>
      <c r="N60" s="5" t="s">
        <v>94</v>
      </c>
      <c r="O60" s="5">
        <v>2</v>
      </c>
      <c r="P60" s="5" t="s">
        <v>24</v>
      </c>
      <c r="Q60" s="5" t="s">
        <v>25</v>
      </c>
      <c r="U60" s="5">
        <v>75465015165</v>
      </c>
      <c r="V60" s="11">
        <v>45883</v>
      </c>
      <c r="W60" s="11">
        <v>0.63694444444444442</v>
      </c>
      <c r="X60" s="5">
        <f t="shared" si="0"/>
        <v>8</v>
      </c>
      <c r="Y60" s="5">
        <f t="shared" si="4"/>
        <v>33</v>
      </c>
      <c r="Z60" s="5">
        <f t="shared" si="5"/>
        <v>14</v>
      </c>
      <c r="AA60" s="5">
        <f t="shared" si="6"/>
        <v>5</v>
      </c>
      <c r="AB60" s="5" t="str">
        <f t="shared" si="7"/>
        <v>15 - 16 hr</v>
      </c>
      <c r="AC60" s="5" t="s">
        <v>17</v>
      </c>
      <c r="AD60" s="11">
        <v>45887</v>
      </c>
      <c r="AE60" s="11">
        <v>0.58799768518518514</v>
      </c>
      <c r="AF60" s="5" t="s">
        <v>18</v>
      </c>
      <c r="AG60" s="5" t="s">
        <v>18</v>
      </c>
      <c r="AH60" s="5" t="s">
        <v>19</v>
      </c>
      <c r="AI60" s="5">
        <v>8952996248</v>
      </c>
      <c r="AJ60" s="5" t="s">
        <v>138</v>
      </c>
      <c r="AK60" s="5" t="s">
        <v>139</v>
      </c>
      <c r="AL60" s="5" t="s">
        <v>33</v>
      </c>
      <c r="AM60" s="5" t="s">
        <v>23</v>
      </c>
      <c r="AN60" s="5">
        <v>7</v>
      </c>
      <c r="AO60" s="5" t="s">
        <v>24</v>
      </c>
      <c r="AP60" s="5" t="s">
        <v>25</v>
      </c>
      <c r="AQ60" s="5">
        <f t="shared" si="1"/>
        <v>94.825277777854353</v>
      </c>
      <c r="AR60" s="5">
        <f t="shared" si="2"/>
        <v>3.95</v>
      </c>
      <c r="AS60" s="5" t="str">
        <f t="shared" si="3"/>
        <v>1-4 days</v>
      </c>
      <c r="AT60" s="5" t="str">
        <f t="shared" ca="1" si="8"/>
        <v>STATUS-COMPLETE</v>
      </c>
      <c r="AU60" s="5" t="str">
        <f t="shared" ca="1" si="9"/>
        <v>STATUS-COMPLETE</v>
      </c>
      <c r="AZ60" s="3" t="s">
        <v>72</v>
      </c>
      <c r="BA60" s="64">
        <v>9</v>
      </c>
      <c r="BB60" s="64">
        <v>5</v>
      </c>
      <c r="BC60" s="64">
        <v>14</v>
      </c>
      <c r="CG60" s="3" t="s">
        <v>48</v>
      </c>
      <c r="CH60" s="64">
        <v>14</v>
      </c>
      <c r="CI60" s="66">
        <v>0.63636363636363635</v>
      </c>
      <c r="CJ60" s="64">
        <v>8</v>
      </c>
      <c r="CK60" s="66">
        <v>0.36363636363636365</v>
      </c>
      <c r="CL60" s="64">
        <v>22</v>
      </c>
      <c r="CM60" s="66">
        <v>1</v>
      </c>
    </row>
    <row r="61" spans="1:91" x14ac:dyDescent="0.3">
      <c r="A61" s="5">
        <v>75541522640</v>
      </c>
      <c r="B61" s="6">
        <v>45886</v>
      </c>
      <c r="C61" s="11">
        <v>0.3908564814814815</v>
      </c>
      <c r="D61" s="5" t="s">
        <v>26</v>
      </c>
      <c r="E61" s="11"/>
      <c r="F61" s="11"/>
      <c r="G61" s="5" t="s">
        <v>18</v>
      </c>
      <c r="H61" s="5" t="s">
        <v>18</v>
      </c>
      <c r="I61" s="5" t="s">
        <v>27</v>
      </c>
      <c r="J61" s="5">
        <v>9529104043</v>
      </c>
      <c r="K61" s="5" t="s">
        <v>143</v>
      </c>
      <c r="L61" s="5" t="s">
        <v>104</v>
      </c>
      <c r="M61" s="5" t="s">
        <v>22</v>
      </c>
      <c r="N61" s="5" t="s">
        <v>72</v>
      </c>
      <c r="O61" s="5">
        <v>2</v>
      </c>
      <c r="P61" s="5" t="s">
        <v>34</v>
      </c>
      <c r="Q61" s="5" t="s">
        <v>67</v>
      </c>
      <c r="U61" s="5">
        <v>75691086098</v>
      </c>
      <c r="V61" s="11">
        <v>45883</v>
      </c>
      <c r="W61" s="11">
        <v>0.41601851851851851</v>
      </c>
      <c r="X61" s="5">
        <f t="shared" si="0"/>
        <v>8</v>
      </c>
      <c r="Y61" s="5">
        <f t="shared" si="4"/>
        <v>33</v>
      </c>
      <c r="Z61" s="5">
        <f t="shared" si="5"/>
        <v>14</v>
      </c>
      <c r="AA61" s="5">
        <f t="shared" si="6"/>
        <v>5</v>
      </c>
      <c r="AB61" s="5" t="str">
        <f t="shared" si="7"/>
        <v>9 - 10 hr</v>
      </c>
      <c r="AC61" s="5" t="s">
        <v>30</v>
      </c>
      <c r="AD61" s="11"/>
      <c r="AE61" s="11"/>
      <c r="AF61" s="5" t="s">
        <v>18</v>
      </c>
      <c r="AG61" s="5" t="s">
        <v>18</v>
      </c>
      <c r="AH61" s="5" t="s">
        <v>27</v>
      </c>
      <c r="AI61" s="5">
        <v>9332299091</v>
      </c>
      <c r="AJ61" s="5" t="s">
        <v>281</v>
      </c>
      <c r="AK61" s="5" t="s">
        <v>119</v>
      </c>
      <c r="AL61" s="5" t="s">
        <v>29</v>
      </c>
      <c r="AM61" s="5" t="s">
        <v>116</v>
      </c>
      <c r="AN61" s="5">
        <v>1</v>
      </c>
      <c r="AO61" s="5" t="s">
        <v>34</v>
      </c>
      <c r="AP61" s="5" t="s">
        <v>35</v>
      </c>
      <c r="AQ61" s="5" t="str">
        <f t="shared" si="1"/>
        <v>Issue_pending</v>
      </c>
      <c r="AR61" s="5" t="str">
        <f t="shared" si="2"/>
        <v>Issue_pending</v>
      </c>
      <c r="AS61" s="5" t="str">
        <f t="shared" si="3"/>
        <v>Issue_pending</v>
      </c>
      <c r="AT61" s="5">
        <f t="shared" ca="1" si="8"/>
        <v>47</v>
      </c>
      <c r="AU61" s="5" t="str">
        <f t="shared" ca="1" si="9"/>
        <v>&gt;20 days</v>
      </c>
      <c r="AZ61" s="3" t="s">
        <v>203</v>
      </c>
      <c r="BA61" s="64">
        <v>12</v>
      </c>
      <c r="BB61" s="64">
        <v>2</v>
      </c>
      <c r="BC61" s="64">
        <v>14</v>
      </c>
      <c r="CG61" s="3" t="s">
        <v>17</v>
      </c>
      <c r="CH61" s="64">
        <v>18</v>
      </c>
      <c r="CI61" s="66">
        <v>0.81818181818181823</v>
      </c>
      <c r="CJ61" s="64">
        <v>4</v>
      </c>
      <c r="CK61" s="66">
        <v>0.18181818181818182</v>
      </c>
      <c r="CL61" s="64">
        <v>22</v>
      </c>
      <c r="CM61" s="66">
        <v>1</v>
      </c>
    </row>
    <row r="62" spans="1:91" x14ac:dyDescent="0.3">
      <c r="A62" s="5">
        <v>75542071170</v>
      </c>
      <c r="B62" s="6">
        <v>45913</v>
      </c>
      <c r="C62" s="11">
        <v>0.79974537037037041</v>
      </c>
      <c r="D62" s="5" t="s">
        <v>43</v>
      </c>
      <c r="E62" s="11">
        <v>45924</v>
      </c>
      <c r="F62" s="11">
        <v>0.64723379629629629</v>
      </c>
      <c r="G62" s="5" t="s">
        <v>18</v>
      </c>
      <c r="H62" s="5" t="s">
        <v>18</v>
      </c>
      <c r="I62" s="5" t="s">
        <v>36</v>
      </c>
      <c r="J62" s="5">
        <v>7961084962</v>
      </c>
      <c r="K62" s="5" t="s">
        <v>388</v>
      </c>
      <c r="L62" s="5" t="s">
        <v>54</v>
      </c>
      <c r="M62" s="5" t="s">
        <v>22</v>
      </c>
      <c r="N62" s="5" t="s">
        <v>42</v>
      </c>
      <c r="O62" s="5">
        <v>8</v>
      </c>
      <c r="P62" s="5" t="s">
        <v>24</v>
      </c>
      <c r="Q62" s="5" t="s">
        <v>25</v>
      </c>
      <c r="U62" s="5">
        <v>75574429624</v>
      </c>
      <c r="V62" s="11">
        <v>45883</v>
      </c>
      <c r="W62" s="11">
        <v>0.76083333333333336</v>
      </c>
      <c r="X62" s="5">
        <f t="shared" si="0"/>
        <v>8</v>
      </c>
      <c r="Y62" s="5">
        <f t="shared" si="4"/>
        <v>33</v>
      </c>
      <c r="Z62" s="5">
        <f t="shared" si="5"/>
        <v>14</v>
      </c>
      <c r="AA62" s="5">
        <f t="shared" si="6"/>
        <v>5</v>
      </c>
      <c r="AB62" s="5" t="str">
        <f t="shared" si="7"/>
        <v>18 - 19 hr</v>
      </c>
      <c r="AC62" s="5" t="s">
        <v>55</v>
      </c>
      <c r="AD62" s="11">
        <v>45895</v>
      </c>
      <c r="AE62" s="11">
        <v>0.66601851851851857</v>
      </c>
      <c r="AF62" s="5" t="s">
        <v>18</v>
      </c>
      <c r="AG62" s="5" t="s">
        <v>18</v>
      </c>
      <c r="AH62" s="5" t="s">
        <v>49</v>
      </c>
      <c r="AI62" s="5">
        <v>9907843037</v>
      </c>
      <c r="AJ62" s="5" t="s">
        <v>282</v>
      </c>
      <c r="AK62" s="5" t="s">
        <v>65</v>
      </c>
      <c r="AL62" s="5" t="s">
        <v>33</v>
      </c>
      <c r="AM62" s="5" t="s">
        <v>66</v>
      </c>
      <c r="AN62" s="5">
        <v>1</v>
      </c>
      <c r="AO62" s="5" t="s">
        <v>24</v>
      </c>
      <c r="AP62" s="5" t="s">
        <v>25</v>
      </c>
      <c r="AQ62" s="5">
        <f t="shared" si="1"/>
        <v>285.72444444440771</v>
      </c>
      <c r="AR62" s="5">
        <f t="shared" si="2"/>
        <v>11.91</v>
      </c>
      <c r="AS62" s="5" t="str">
        <f t="shared" si="3"/>
        <v>9-12 days</v>
      </c>
      <c r="AT62" s="5" t="str">
        <f t="shared" ca="1" si="8"/>
        <v>STATUS-COMPLETE</v>
      </c>
      <c r="AU62" s="5" t="str">
        <f t="shared" ca="1" si="9"/>
        <v>STATUS-COMPLETE</v>
      </c>
      <c r="AZ62" s="3" t="s">
        <v>116</v>
      </c>
      <c r="BA62" s="64">
        <v>12</v>
      </c>
      <c r="BB62" s="64">
        <v>2</v>
      </c>
      <c r="BC62" s="64">
        <v>14</v>
      </c>
      <c r="CG62" s="3" t="s">
        <v>95</v>
      </c>
      <c r="CH62" s="64">
        <v>16</v>
      </c>
      <c r="CI62" s="66">
        <v>0.76190476190476186</v>
      </c>
      <c r="CJ62" s="64">
        <v>5</v>
      </c>
      <c r="CK62" s="66">
        <v>0.23809523809523808</v>
      </c>
      <c r="CL62" s="64">
        <v>21</v>
      </c>
      <c r="CM62" s="66">
        <v>1</v>
      </c>
    </row>
    <row r="63" spans="1:91" x14ac:dyDescent="0.3">
      <c r="A63" s="5">
        <v>75543171768</v>
      </c>
      <c r="B63" s="6">
        <v>45903</v>
      </c>
      <c r="C63" s="11">
        <v>0.69621527777777781</v>
      </c>
      <c r="D63" s="5" t="s">
        <v>46</v>
      </c>
      <c r="E63" s="11">
        <v>45912</v>
      </c>
      <c r="F63" s="11">
        <v>0.54090277777777773</v>
      </c>
      <c r="G63" s="5" t="s">
        <v>18</v>
      </c>
      <c r="H63" s="5" t="s">
        <v>18</v>
      </c>
      <c r="I63" s="5" t="s">
        <v>36</v>
      </c>
      <c r="J63" s="5">
        <v>9557448229</v>
      </c>
      <c r="K63" s="5" t="s">
        <v>47</v>
      </c>
      <c r="L63" s="5" t="s">
        <v>41</v>
      </c>
      <c r="M63" s="5" t="s">
        <v>22</v>
      </c>
      <c r="N63" s="5" t="s">
        <v>42</v>
      </c>
      <c r="O63" s="5">
        <v>9</v>
      </c>
      <c r="P63" s="5" t="s">
        <v>24</v>
      </c>
      <c r="Q63" s="5" t="s">
        <v>25</v>
      </c>
      <c r="U63" s="5">
        <v>75709893263</v>
      </c>
      <c r="V63" s="11">
        <v>45884</v>
      </c>
      <c r="W63" s="11">
        <v>0.67186342592592596</v>
      </c>
      <c r="X63" s="5">
        <f t="shared" si="0"/>
        <v>8</v>
      </c>
      <c r="Y63" s="5">
        <f t="shared" si="4"/>
        <v>33</v>
      </c>
      <c r="Z63" s="5">
        <f t="shared" si="5"/>
        <v>15</v>
      </c>
      <c r="AA63" s="5">
        <f t="shared" si="6"/>
        <v>6</v>
      </c>
      <c r="AB63" s="5" t="str">
        <f t="shared" si="7"/>
        <v>16 - 17 hr</v>
      </c>
      <c r="AC63" s="5" t="s">
        <v>30</v>
      </c>
      <c r="AD63" s="11">
        <v>45889</v>
      </c>
      <c r="AE63" s="11">
        <v>0.46114583333333331</v>
      </c>
      <c r="AF63" s="5" t="s">
        <v>18</v>
      </c>
      <c r="AG63" s="5" t="s">
        <v>18</v>
      </c>
      <c r="AH63" s="5" t="s">
        <v>19</v>
      </c>
      <c r="AI63" s="5">
        <v>8728760924</v>
      </c>
      <c r="AJ63" s="5" t="s">
        <v>99</v>
      </c>
      <c r="AK63" s="5" t="s">
        <v>54</v>
      </c>
      <c r="AL63" s="5" t="s">
        <v>82</v>
      </c>
      <c r="AM63" s="5" t="s">
        <v>42</v>
      </c>
      <c r="AN63" s="5">
        <v>3</v>
      </c>
      <c r="AO63" s="5" t="s">
        <v>24</v>
      </c>
      <c r="AP63" s="5" t="s">
        <v>25</v>
      </c>
      <c r="AQ63" s="5">
        <f t="shared" si="1"/>
        <v>114.94277777778916</v>
      </c>
      <c r="AR63" s="5">
        <f t="shared" si="2"/>
        <v>4.79</v>
      </c>
      <c r="AS63" s="5" t="str">
        <f t="shared" si="3"/>
        <v>5-8 days</v>
      </c>
      <c r="AT63" s="5" t="str">
        <f t="shared" ca="1" si="8"/>
        <v>STATUS-COMPLETE</v>
      </c>
      <c r="AU63" s="5" t="str">
        <f t="shared" ca="1" si="9"/>
        <v>STATUS-COMPLETE</v>
      </c>
      <c r="AZ63" s="3" t="s">
        <v>142</v>
      </c>
      <c r="BA63" s="64">
        <v>10</v>
      </c>
      <c r="BB63" s="64"/>
      <c r="BC63" s="64">
        <v>10</v>
      </c>
      <c r="CG63" s="3" t="s">
        <v>58</v>
      </c>
      <c r="CH63" s="64">
        <v>12</v>
      </c>
      <c r="CI63" s="66">
        <v>0.63157894736842102</v>
      </c>
      <c r="CJ63" s="64">
        <v>7</v>
      </c>
      <c r="CK63" s="66">
        <v>0.36842105263157893</v>
      </c>
      <c r="CL63" s="64">
        <v>19</v>
      </c>
      <c r="CM63" s="66">
        <v>1</v>
      </c>
    </row>
    <row r="64" spans="1:91" x14ac:dyDescent="0.3">
      <c r="A64" s="5">
        <v>75543247463</v>
      </c>
      <c r="B64" s="6">
        <v>45892</v>
      </c>
      <c r="C64" s="11">
        <v>0.39067129629629632</v>
      </c>
      <c r="D64" s="5" t="s">
        <v>78</v>
      </c>
      <c r="E64" s="11">
        <v>45903</v>
      </c>
      <c r="F64" s="11">
        <v>0.45112268518518517</v>
      </c>
      <c r="G64" s="5" t="s">
        <v>18</v>
      </c>
      <c r="H64" s="5" t="s">
        <v>18</v>
      </c>
      <c r="I64" s="5" t="s">
        <v>49</v>
      </c>
      <c r="J64" s="5">
        <v>9760786161</v>
      </c>
      <c r="K64" s="5" t="s">
        <v>194</v>
      </c>
      <c r="L64" s="5" t="s">
        <v>195</v>
      </c>
      <c r="M64" s="5" t="s">
        <v>33</v>
      </c>
      <c r="N64" s="5" t="s">
        <v>102</v>
      </c>
      <c r="O64" s="5">
        <v>6</v>
      </c>
      <c r="P64" s="5" t="s">
        <v>24</v>
      </c>
      <c r="Q64" s="5" t="s">
        <v>67</v>
      </c>
      <c r="U64" s="5">
        <v>75969732591</v>
      </c>
      <c r="V64" s="11">
        <v>45884</v>
      </c>
      <c r="W64" s="11">
        <v>0.71732638888888889</v>
      </c>
      <c r="X64" s="5">
        <f t="shared" si="0"/>
        <v>8</v>
      </c>
      <c r="Y64" s="5">
        <f t="shared" si="4"/>
        <v>33</v>
      </c>
      <c r="Z64" s="5">
        <f t="shared" si="5"/>
        <v>15</v>
      </c>
      <c r="AA64" s="5">
        <f t="shared" si="6"/>
        <v>6</v>
      </c>
      <c r="AB64" s="5" t="str">
        <f t="shared" si="7"/>
        <v>17 - 18 hr</v>
      </c>
      <c r="AC64" s="5" t="s">
        <v>78</v>
      </c>
      <c r="AD64" s="11">
        <v>45887</v>
      </c>
      <c r="AE64" s="11">
        <v>0.43935185185185183</v>
      </c>
      <c r="AF64" s="5" t="s">
        <v>18</v>
      </c>
      <c r="AG64" s="5" t="s">
        <v>18</v>
      </c>
      <c r="AH64" s="5" t="s">
        <v>27</v>
      </c>
      <c r="AI64" s="5">
        <v>8507961865</v>
      </c>
      <c r="AJ64" s="5" t="s">
        <v>166</v>
      </c>
      <c r="AK64" s="5" t="s">
        <v>167</v>
      </c>
      <c r="AL64" s="5" t="s">
        <v>22</v>
      </c>
      <c r="AM64" s="5" t="s">
        <v>142</v>
      </c>
      <c r="AN64" s="5">
        <v>8</v>
      </c>
      <c r="AO64" s="5" t="s">
        <v>24</v>
      </c>
      <c r="AP64" s="5" t="s">
        <v>25</v>
      </c>
      <c r="AQ64" s="5">
        <f t="shared" si="1"/>
        <v>65.328611111151986</v>
      </c>
      <c r="AR64" s="5">
        <f t="shared" si="2"/>
        <v>2.72</v>
      </c>
      <c r="AS64" s="5" t="str">
        <f t="shared" si="3"/>
        <v>1-4 days</v>
      </c>
      <c r="AT64" s="5" t="str">
        <f t="shared" ca="1" si="8"/>
        <v>STATUS-COMPLETE</v>
      </c>
      <c r="AU64" s="5" t="str">
        <f t="shared" ca="1" si="9"/>
        <v>STATUS-COMPLETE</v>
      </c>
      <c r="AZ64" s="3" t="s">
        <v>392</v>
      </c>
      <c r="BA64" s="64">
        <v>166</v>
      </c>
      <c r="BB64" s="64">
        <v>59</v>
      </c>
      <c r="BC64" s="64">
        <v>225</v>
      </c>
      <c r="CG64" s="3" t="s">
        <v>26</v>
      </c>
      <c r="CH64" s="64">
        <v>13</v>
      </c>
      <c r="CI64" s="66">
        <v>0.72222222222222221</v>
      </c>
      <c r="CJ64" s="64">
        <v>5</v>
      </c>
      <c r="CK64" s="66">
        <v>0.27777777777777779</v>
      </c>
      <c r="CL64" s="64">
        <v>18</v>
      </c>
      <c r="CM64" s="66">
        <v>1</v>
      </c>
    </row>
    <row r="65" spans="1:91" x14ac:dyDescent="0.3">
      <c r="A65" s="5">
        <v>75547848992</v>
      </c>
      <c r="B65" s="6">
        <v>45898</v>
      </c>
      <c r="C65" s="11">
        <v>0.7245949074074074</v>
      </c>
      <c r="D65" s="5" t="s">
        <v>78</v>
      </c>
      <c r="E65" s="11"/>
      <c r="F65" s="11"/>
      <c r="G65" s="5" t="s">
        <v>18</v>
      </c>
      <c r="H65" s="5" t="s">
        <v>18</v>
      </c>
      <c r="I65" s="5" t="s">
        <v>27</v>
      </c>
      <c r="J65" s="5">
        <v>8555424924</v>
      </c>
      <c r="K65" s="5" t="s">
        <v>206</v>
      </c>
      <c r="L65" s="5" t="s">
        <v>165</v>
      </c>
      <c r="M65" s="5" t="s">
        <v>29</v>
      </c>
      <c r="N65" s="5" t="s">
        <v>23</v>
      </c>
      <c r="O65" s="5">
        <v>2</v>
      </c>
      <c r="P65" s="5" t="s">
        <v>34</v>
      </c>
      <c r="Q65" s="5" t="s">
        <v>60</v>
      </c>
      <c r="U65" s="5">
        <v>75888529624</v>
      </c>
      <c r="V65" s="11">
        <v>45884</v>
      </c>
      <c r="W65" s="11">
        <v>0.85998842592592595</v>
      </c>
      <c r="X65" s="5">
        <f t="shared" si="0"/>
        <v>8</v>
      </c>
      <c r="Y65" s="5">
        <f t="shared" si="4"/>
        <v>33</v>
      </c>
      <c r="Z65" s="5">
        <f t="shared" si="5"/>
        <v>15</v>
      </c>
      <c r="AA65" s="5">
        <f t="shared" si="6"/>
        <v>6</v>
      </c>
      <c r="AB65" s="5" t="str">
        <f t="shared" si="7"/>
        <v>20 - 21 hr</v>
      </c>
      <c r="AC65" s="5" t="s">
        <v>55</v>
      </c>
      <c r="AD65" s="11"/>
      <c r="AE65" s="11"/>
      <c r="AF65" s="5" t="s">
        <v>18</v>
      </c>
      <c r="AG65" s="5" t="s">
        <v>18</v>
      </c>
      <c r="AH65" s="5" t="s">
        <v>27</v>
      </c>
      <c r="AI65" s="5">
        <v>9358944233</v>
      </c>
      <c r="AJ65" s="5" t="s">
        <v>252</v>
      </c>
      <c r="AK65" s="5" t="s">
        <v>253</v>
      </c>
      <c r="AL65" s="5" t="s">
        <v>82</v>
      </c>
      <c r="AM65" s="5" t="s">
        <v>76</v>
      </c>
      <c r="AN65" s="5">
        <v>7</v>
      </c>
      <c r="AO65" s="5" t="s">
        <v>34</v>
      </c>
      <c r="AP65" s="5" t="s">
        <v>60</v>
      </c>
      <c r="AQ65" s="5" t="str">
        <f t="shared" si="1"/>
        <v>Issue_pending</v>
      </c>
      <c r="AR65" s="5" t="str">
        <f t="shared" si="2"/>
        <v>Issue_pending</v>
      </c>
      <c r="AS65" s="5" t="str">
        <f t="shared" si="3"/>
        <v>Issue_pending</v>
      </c>
      <c r="AT65" s="5">
        <f t="shared" ca="1" si="8"/>
        <v>46</v>
      </c>
      <c r="AU65" s="5" t="str">
        <f t="shared" ca="1" si="9"/>
        <v>&gt;20 days</v>
      </c>
      <c r="CG65" s="3" t="s">
        <v>46</v>
      </c>
      <c r="CH65" s="64">
        <v>15</v>
      </c>
      <c r="CI65" s="66">
        <v>0.88235294117647056</v>
      </c>
      <c r="CJ65" s="64">
        <v>2</v>
      </c>
      <c r="CK65" s="66">
        <v>0.11764705882352941</v>
      </c>
      <c r="CL65" s="64">
        <v>17</v>
      </c>
      <c r="CM65" s="66">
        <v>1</v>
      </c>
    </row>
    <row r="66" spans="1:91" x14ac:dyDescent="0.3">
      <c r="A66" s="5">
        <v>75548604290</v>
      </c>
      <c r="B66" s="6">
        <v>45919</v>
      </c>
      <c r="C66" s="11">
        <v>0.54422453703703699</v>
      </c>
      <c r="D66" s="5" t="s">
        <v>48</v>
      </c>
      <c r="E66" s="11">
        <v>45928</v>
      </c>
      <c r="F66" s="11">
        <v>0.63254629629629633</v>
      </c>
      <c r="G66" s="5" t="s">
        <v>18</v>
      </c>
      <c r="H66" s="5" t="s">
        <v>18</v>
      </c>
      <c r="I66" s="5" t="s">
        <v>49</v>
      </c>
      <c r="J66" s="5">
        <v>8594343845</v>
      </c>
      <c r="K66" s="5" t="s">
        <v>182</v>
      </c>
      <c r="L66" s="5" t="s">
        <v>51</v>
      </c>
      <c r="M66" s="5" t="s">
        <v>82</v>
      </c>
      <c r="N66" s="5" t="s">
        <v>52</v>
      </c>
      <c r="O66" s="5">
        <v>6</v>
      </c>
      <c r="P66" s="5" t="s">
        <v>24</v>
      </c>
      <c r="Q66" s="5" t="s">
        <v>25</v>
      </c>
      <c r="U66" s="5">
        <v>75680383739</v>
      </c>
      <c r="V66" s="11">
        <v>45884</v>
      </c>
      <c r="W66" s="11">
        <v>0.41968749999999999</v>
      </c>
      <c r="X66" s="5">
        <f t="shared" ref="X66:X129" si="10">MONTH(V66)</f>
        <v>8</v>
      </c>
      <c r="Y66" s="5">
        <f t="shared" si="4"/>
        <v>33</v>
      </c>
      <c r="Z66" s="5">
        <f t="shared" si="5"/>
        <v>15</v>
      </c>
      <c r="AA66" s="5">
        <f t="shared" si="6"/>
        <v>6</v>
      </c>
      <c r="AB66" s="5" t="str">
        <f t="shared" si="7"/>
        <v>10 - 11 hr</v>
      </c>
      <c r="AC66" s="5" t="s">
        <v>95</v>
      </c>
      <c r="AD66" s="11">
        <v>45886</v>
      </c>
      <c r="AE66" s="11">
        <v>0.38751157407407405</v>
      </c>
      <c r="AF66" s="5" t="s">
        <v>18</v>
      </c>
      <c r="AG66" s="5" t="s">
        <v>18</v>
      </c>
      <c r="AH66" s="5" t="s">
        <v>27</v>
      </c>
      <c r="AI66" s="5">
        <v>8612579345</v>
      </c>
      <c r="AJ66" s="5" t="s">
        <v>371</v>
      </c>
      <c r="AK66" s="5" t="s">
        <v>115</v>
      </c>
      <c r="AL66" s="5" t="s">
        <v>33</v>
      </c>
      <c r="AM66" s="5" t="s">
        <v>116</v>
      </c>
      <c r="AN66" s="5">
        <v>7</v>
      </c>
      <c r="AO66" s="5" t="s">
        <v>24</v>
      </c>
      <c r="AP66" s="5" t="s">
        <v>25</v>
      </c>
      <c r="AQ66" s="5">
        <f t="shared" ref="AQ66:AQ129" si="11">IF(AO66="Pending","Issue_pending",
    IF(AO66="Complete",
        IF(OR(V66="",W66="",AD66="",AE66=""),"Issue_solved_date_absent",
           ((AD66+AE66)-(V66+W66))*24
        ),
    ""))</f>
        <v>47.227777777821757</v>
      </c>
      <c r="AR66" s="5">
        <f t="shared" ref="AR66:AR129" si="12">IF(AQ66="Issue_pending","Issue_pending",IF(AQ66="Issue_solved_date_absent","Issue_solved_date_absent",ROUND(AQ66/24,2)))</f>
        <v>1.97</v>
      </c>
      <c r="AS66" s="5" t="str">
        <f t="shared" ref="AS66:AS129" si="13">IF(AR66="Issue_pending","Issue_pending",
    IF(AR66="Issue_solved_date_absent","Issue_solved_date_absent",
        IF(AR66&lt;=4,"1-4 days",
        IF(AR66&lt;=8,"5-8 days",
        "9-12 days"))))</f>
        <v>1-4 days</v>
      </c>
      <c r="AT66" s="5" t="str">
        <f t="shared" ca="1" si="8"/>
        <v>STATUS-COMPLETE</v>
      </c>
      <c r="AU66" s="5" t="str">
        <f t="shared" ca="1" si="9"/>
        <v>STATUS-COMPLETE</v>
      </c>
      <c r="CG66" s="3" t="s">
        <v>43</v>
      </c>
      <c r="CH66" s="64">
        <v>11</v>
      </c>
      <c r="CI66" s="66">
        <v>0.73333333333333328</v>
      </c>
      <c r="CJ66" s="64">
        <v>4</v>
      </c>
      <c r="CK66" s="66">
        <v>0.26666666666666666</v>
      </c>
      <c r="CL66" s="64">
        <v>15</v>
      </c>
      <c r="CM66" s="66">
        <v>1</v>
      </c>
    </row>
    <row r="67" spans="1:91" x14ac:dyDescent="0.3">
      <c r="A67" s="5">
        <v>75549502403</v>
      </c>
      <c r="B67" s="6">
        <v>45907</v>
      </c>
      <c r="C67" s="11">
        <v>0.53626157407407404</v>
      </c>
      <c r="D67" s="5" t="s">
        <v>43</v>
      </c>
      <c r="E67" s="11">
        <v>45919</v>
      </c>
      <c r="F67" s="11">
        <v>0.77809027777777773</v>
      </c>
      <c r="G67" s="5" t="s">
        <v>18</v>
      </c>
      <c r="H67" s="5" t="s">
        <v>18</v>
      </c>
      <c r="I67" s="5" t="s">
        <v>27</v>
      </c>
      <c r="J67" s="5">
        <v>9448450685</v>
      </c>
      <c r="K67" s="5" t="s">
        <v>315</v>
      </c>
      <c r="L67" s="5" t="s">
        <v>119</v>
      </c>
      <c r="M67" s="5" t="s">
        <v>82</v>
      </c>
      <c r="N67" s="5" t="s">
        <v>116</v>
      </c>
      <c r="O67" s="5">
        <v>2</v>
      </c>
      <c r="P67" s="5" t="s">
        <v>24</v>
      </c>
      <c r="Q67" s="5" t="s">
        <v>25</v>
      </c>
      <c r="U67" s="5">
        <v>75675139575</v>
      </c>
      <c r="V67" s="11">
        <v>45885</v>
      </c>
      <c r="W67" s="11">
        <v>0.5907175925925926</v>
      </c>
      <c r="X67" s="5">
        <f t="shared" si="10"/>
        <v>8</v>
      </c>
      <c r="Y67" s="5">
        <f t="shared" ref="Y67:Y130" si="14">WEEKNUM(V67)</f>
        <v>33</v>
      </c>
      <c r="Z67" s="5">
        <f t="shared" ref="Z67:Z130" si="15">DAY(V67)</f>
        <v>16</v>
      </c>
      <c r="AA67" s="5">
        <f t="shared" ref="AA67:AA130" si="16">WEEKDAY(V67)</f>
        <v>7</v>
      </c>
      <c r="AB67" s="5" t="str">
        <f t="shared" ref="AB67:AB130" si="17">INT(W67*24)&amp;" - "&amp;INT(W67*24)+1&amp;" hr"</f>
        <v>14 - 15 hr</v>
      </c>
      <c r="AC67" s="5" t="s">
        <v>58</v>
      </c>
      <c r="AD67" s="11">
        <v>45896</v>
      </c>
      <c r="AE67" s="11">
        <v>0.44181712962962966</v>
      </c>
      <c r="AF67" s="5" t="s">
        <v>18</v>
      </c>
      <c r="AG67" s="5" t="s">
        <v>18</v>
      </c>
      <c r="AH67" s="5" t="s">
        <v>27</v>
      </c>
      <c r="AI67" s="5">
        <v>7491914923</v>
      </c>
      <c r="AJ67" s="5" t="s">
        <v>70</v>
      </c>
      <c r="AK67" s="5" t="s">
        <v>71</v>
      </c>
      <c r="AL67" s="5" t="s">
        <v>29</v>
      </c>
      <c r="AM67" s="5" t="s">
        <v>72</v>
      </c>
      <c r="AN67" s="5">
        <v>1</v>
      </c>
      <c r="AO67" s="5" t="s">
        <v>24</v>
      </c>
      <c r="AP67" s="5" t="s">
        <v>25</v>
      </c>
      <c r="AQ67" s="5">
        <f t="shared" si="11"/>
        <v>260.42638888891088</v>
      </c>
      <c r="AR67" s="5">
        <f t="shared" si="12"/>
        <v>10.85</v>
      </c>
      <c r="AS67" s="5" t="str">
        <f t="shared" si="13"/>
        <v>9-12 days</v>
      </c>
      <c r="AT67" s="5" t="str">
        <f t="shared" ref="AT67:AT130" ca="1" si="18">IF(AO67="Pending",TODAY()-V67,"STATUS-COMPLETE")</f>
        <v>STATUS-COMPLETE</v>
      </c>
      <c r="AU67" s="5" t="str">
        <f t="shared" ref="AU67:AU130" ca="1" si="19">IF(ISNUMBER(AT67),
     IF(AT67&lt;=7,"0-7 days",IF(AT67&lt;=20,"8-20 days","&gt;20 days")),
     AT67)</f>
        <v>STATUS-COMPLETE</v>
      </c>
      <c r="AZ67" s="2" t="s">
        <v>394</v>
      </c>
      <c r="BA67" s="2" t="s">
        <v>393</v>
      </c>
      <c r="CG67" s="3" t="s">
        <v>665</v>
      </c>
      <c r="CH67" s="64"/>
      <c r="CI67" s="66">
        <v>0</v>
      </c>
      <c r="CJ67" s="64">
        <v>5</v>
      </c>
      <c r="CK67" s="66">
        <v>1</v>
      </c>
      <c r="CL67" s="64">
        <v>5</v>
      </c>
      <c r="CM67" s="66">
        <v>1</v>
      </c>
    </row>
    <row r="68" spans="1:91" x14ac:dyDescent="0.3">
      <c r="A68" s="5">
        <v>75550337960</v>
      </c>
      <c r="B68" s="6">
        <v>45896</v>
      </c>
      <c r="C68" s="11">
        <v>0.44289351851851849</v>
      </c>
      <c r="D68" s="5" t="s">
        <v>55</v>
      </c>
      <c r="E68" s="11">
        <v>45904</v>
      </c>
      <c r="F68" s="11">
        <v>0.50413194444444442</v>
      </c>
      <c r="G68" s="5" t="s">
        <v>18</v>
      </c>
      <c r="H68" s="5" t="s">
        <v>18</v>
      </c>
      <c r="I68" s="5" t="s">
        <v>36</v>
      </c>
      <c r="J68" s="5">
        <v>8509834067</v>
      </c>
      <c r="K68" s="5" t="s">
        <v>329</v>
      </c>
      <c r="L68" s="5" t="s">
        <v>197</v>
      </c>
      <c r="M68" s="5" t="s">
        <v>22</v>
      </c>
      <c r="N68" s="5" t="s">
        <v>39</v>
      </c>
      <c r="O68" s="5">
        <v>2</v>
      </c>
      <c r="P68" s="5" t="s">
        <v>24</v>
      </c>
      <c r="Q68" s="5" t="s">
        <v>25</v>
      </c>
      <c r="U68" s="5">
        <v>75761203124</v>
      </c>
      <c r="V68" s="11">
        <v>45885</v>
      </c>
      <c r="W68" s="11">
        <v>0.3971527777777778</v>
      </c>
      <c r="X68" s="5">
        <f t="shared" si="10"/>
        <v>8</v>
      </c>
      <c r="Y68" s="5">
        <f t="shared" si="14"/>
        <v>33</v>
      </c>
      <c r="Z68" s="5">
        <f t="shared" si="15"/>
        <v>16</v>
      </c>
      <c r="AA68" s="5">
        <f t="shared" si="16"/>
        <v>7</v>
      </c>
      <c r="AB68" s="5" t="str">
        <f t="shared" si="17"/>
        <v>9 - 10 hr</v>
      </c>
      <c r="AC68" s="5" t="s">
        <v>78</v>
      </c>
      <c r="AD68" s="11"/>
      <c r="AE68" s="11"/>
      <c r="AF68" s="5" t="s">
        <v>18</v>
      </c>
      <c r="AG68" s="5" t="s">
        <v>18</v>
      </c>
      <c r="AH68" s="5" t="s">
        <v>49</v>
      </c>
      <c r="AI68" s="5">
        <v>7780996231</v>
      </c>
      <c r="AJ68" s="5" t="s">
        <v>79</v>
      </c>
      <c r="AK68" s="5" t="s">
        <v>80</v>
      </c>
      <c r="AL68" s="5" t="s">
        <v>29</v>
      </c>
      <c r="AM68" s="5" t="s">
        <v>52</v>
      </c>
      <c r="AN68" s="5">
        <v>10</v>
      </c>
      <c r="AO68" s="5" t="s">
        <v>34</v>
      </c>
      <c r="AP68" s="5" t="s">
        <v>35</v>
      </c>
      <c r="AQ68" s="5" t="str">
        <f t="shared" si="11"/>
        <v>Issue_pending</v>
      </c>
      <c r="AR68" s="5" t="str">
        <f t="shared" si="12"/>
        <v>Issue_pending</v>
      </c>
      <c r="AS68" s="5" t="str">
        <f t="shared" si="13"/>
        <v>Issue_pending</v>
      </c>
      <c r="AT68" s="5">
        <f t="shared" ca="1" si="18"/>
        <v>45</v>
      </c>
      <c r="AU68" s="5" t="str">
        <f t="shared" ca="1" si="19"/>
        <v>&gt;20 days</v>
      </c>
      <c r="AZ68" s="2" t="s">
        <v>391</v>
      </c>
      <c r="BA68" t="s">
        <v>504</v>
      </c>
      <c r="BB68" t="s">
        <v>505</v>
      </c>
      <c r="BC68" t="s">
        <v>506</v>
      </c>
      <c r="BD68" t="s">
        <v>392</v>
      </c>
      <c r="CG68" s="3" t="s">
        <v>392</v>
      </c>
      <c r="CH68" s="64">
        <v>166</v>
      </c>
      <c r="CI68" s="66">
        <v>0.73777777777777775</v>
      </c>
      <c r="CJ68" s="64">
        <v>59</v>
      </c>
      <c r="CK68" s="66">
        <v>0.26222222222222225</v>
      </c>
      <c r="CL68" s="64">
        <v>225</v>
      </c>
      <c r="CM68" s="66">
        <v>1</v>
      </c>
    </row>
    <row r="69" spans="1:91" x14ac:dyDescent="0.3">
      <c r="A69" s="5">
        <v>75554460628</v>
      </c>
      <c r="B69" s="6">
        <v>45901</v>
      </c>
      <c r="C69" s="11">
        <v>0.77688657407407402</v>
      </c>
      <c r="D69" s="5" t="s">
        <v>55</v>
      </c>
      <c r="E69" s="11">
        <v>45909</v>
      </c>
      <c r="F69" s="11">
        <v>0.38283564814814813</v>
      </c>
      <c r="G69" s="5" t="s">
        <v>18</v>
      </c>
      <c r="H69" s="5" t="s">
        <v>18</v>
      </c>
      <c r="I69" s="5" t="s">
        <v>49</v>
      </c>
      <c r="J69" s="5">
        <v>7166569717</v>
      </c>
      <c r="K69" s="5" t="s">
        <v>382</v>
      </c>
      <c r="L69" s="5" t="s">
        <v>69</v>
      </c>
      <c r="M69" s="5" t="s">
        <v>29</v>
      </c>
      <c r="N69" s="5" t="s">
        <v>52</v>
      </c>
      <c r="O69" s="5">
        <v>9</v>
      </c>
      <c r="P69" s="5" t="s">
        <v>24</v>
      </c>
      <c r="Q69" s="5" t="s">
        <v>25</v>
      </c>
      <c r="U69" s="5">
        <v>75638680070</v>
      </c>
      <c r="V69" s="11">
        <v>45885</v>
      </c>
      <c r="W69" s="11">
        <v>0.46726851851851853</v>
      </c>
      <c r="X69" s="5">
        <f t="shared" si="10"/>
        <v>8</v>
      </c>
      <c r="Y69" s="5">
        <f t="shared" si="14"/>
        <v>33</v>
      </c>
      <c r="Z69" s="5">
        <f t="shared" si="15"/>
        <v>16</v>
      </c>
      <c r="AA69" s="5">
        <f t="shared" si="16"/>
        <v>7</v>
      </c>
      <c r="AB69" s="5" t="str">
        <f t="shared" si="17"/>
        <v>11 - 12 hr</v>
      </c>
      <c r="AC69" s="5" t="s">
        <v>55</v>
      </c>
      <c r="AD69" s="11">
        <v>45887</v>
      </c>
      <c r="AE69" s="11">
        <v>0.46319444444444446</v>
      </c>
      <c r="AF69" s="5" t="s">
        <v>18</v>
      </c>
      <c r="AG69" s="5" t="s">
        <v>18</v>
      </c>
      <c r="AH69" s="5" t="s">
        <v>27</v>
      </c>
      <c r="AI69" s="5">
        <v>8598757527</v>
      </c>
      <c r="AJ69" s="5" t="s">
        <v>353</v>
      </c>
      <c r="AK69" s="5" t="s">
        <v>115</v>
      </c>
      <c r="AL69" s="5" t="s">
        <v>22</v>
      </c>
      <c r="AM69" s="5" t="s">
        <v>116</v>
      </c>
      <c r="AN69" s="5">
        <v>7</v>
      </c>
      <c r="AO69" s="5" t="s">
        <v>24</v>
      </c>
      <c r="AP69" s="5" t="s">
        <v>25</v>
      </c>
      <c r="AQ69" s="5">
        <f t="shared" si="11"/>
        <v>47.902222222066484</v>
      </c>
      <c r="AR69" s="5">
        <f t="shared" si="12"/>
        <v>2</v>
      </c>
      <c r="AS69" s="5" t="str">
        <f t="shared" si="13"/>
        <v>1-4 days</v>
      </c>
      <c r="AT69" s="5" t="str">
        <f t="shared" ca="1" si="18"/>
        <v>STATUS-COMPLETE</v>
      </c>
      <c r="AU69" s="5" t="str">
        <f t="shared" ca="1" si="19"/>
        <v>STATUS-COMPLETE</v>
      </c>
      <c r="AZ69" s="3" t="s">
        <v>42</v>
      </c>
      <c r="BA69" s="64">
        <v>4</v>
      </c>
      <c r="BB69" s="64">
        <v>4</v>
      </c>
      <c r="BC69" s="64">
        <v>8</v>
      </c>
      <c r="BD69" s="64">
        <v>16</v>
      </c>
    </row>
    <row r="70" spans="1:91" x14ac:dyDescent="0.3">
      <c r="A70" s="5">
        <v>75561669421</v>
      </c>
      <c r="B70" s="6">
        <v>45893</v>
      </c>
      <c r="C70" s="11">
        <v>0.41627314814814814</v>
      </c>
      <c r="D70" s="5" t="s">
        <v>43</v>
      </c>
      <c r="E70" s="11">
        <v>45901</v>
      </c>
      <c r="F70" s="11">
        <v>0.53260416666666666</v>
      </c>
      <c r="G70" s="5" t="s">
        <v>18</v>
      </c>
      <c r="H70" s="5" t="s">
        <v>18</v>
      </c>
      <c r="I70" s="5" t="s">
        <v>49</v>
      </c>
      <c r="J70" s="5">
        <v>8000717686</v>
      </c>
      <c r="K70" s="5" t="s">
        <v>344</v>
      </c>
      <c r="L70" s="5" t="s">
        <v>345</v>
      </c>
      <c r="M70" s="5" t="s">
        <v>82</v>
      </c>
      <c r="N70" s="5" t="s">
        <v>66</v>
      </c>
      <c r="O70" s="5">
        <v>2</v>
      </c>
      <c r="P70" s="5" t="s">
        <v>24</v>
      </c>
      <c r="Q70" s="5" t="s">
        <v>25</v>
      </c>
      <c r="U70" s="5">
        <v>75979196799</v>
      </c>
      <c r="V70" s="11">
        <v>45886</v>
      </c>
      <c r="W70" s="11">
        <v>0.39043981481481482</v>
      </c>
      <c r="X70" s="5">
        <f t="shared" si="10"/>
        <v>8</v>
      </c>
      <c r="Y70" s="5">
        <f t="shared" si="14"/>
        <v>34</v>
      </c>
      <c r="Z70" s="5">
        <f t="shared" si="15"/>
        <v>17</v>
      </c>
      <c r="AA70" s="5">
        <f t="shared" si="16"/>
        <v>1</v>
      </c>
      <c r="AB70" s="5" t="str">
        <f t="shared" si="17"/>
        <v>9 - 10 hr</v>
      </c>
      <c r="AC70" s="5" t="str">
        <f>"Unknown_Handler"</f>
        <v>Unknown_Handler</v>
      </c>
      <c r="AD70" s="11"/>
      <c r="AE70" s="11"/>
      <c r="AF70" s="5" t="s">
        <v>18</v>
      </c>
      <c r="AG70" s="5" t="s">
        <v>18</v>
      </c>
      <c r="AH70" s="5" t="s">
        <v>49</v>
      </c>
      <c r="AI70" s="5">
        <v>9799264931</v>
      </c>
      <c r="AJ70" s="5" t="s">
        <v>68</v>
      </c>
      <c r="AK70" s="5" t="s">
        <v>69</v>
      </c>
      <c r="AL70" s="5" t="s">
        <v>22</v>
      </c>
      <c r="AM70" s="5" t="s">
        <v>52</v>
      </c>
      <c r="AN70" s="5">
        <v>7</v>
      </c>
      <c r="AO70" s="5" t="s">
        <v>34</v>
      </c>
      <c r="AP70" s="5" t="s">
        <v>60</v>
      </c>
      <c r="AQ70" s="5" t="str">
        <f t="shared" si="11"/>
        <v>Issue_pending</v>
      </c>
      <c r="AR70" s="5" t="str">
        <f t="shared" si="12"/>
        <v>Issue_pending</v>
      </c>
      <c r="AS70" s="5" t="str">
        <f t="shared" si="13"/>
        <v>Issue_pending</v>
      </c>
      <c r="AT70" s="5">
        <f t="shared" ca="1" si="18"/>
        <v>44</v>
      </c>
      <c r="AU70" s="5" t="str">
        <f t="shared" ca="1" si="19"/>
        <v>&gt;20 days</v>
      </c>
      <c r="AZ70" s="3" t="s">
        <v>86</v>
      </c>
      <c r="BA70" s="64">
        <v>5</v>
      </c>
      <c r="BB70" s="64">
        <v>5</v>
      </c>
      <c r="BC70" s="64">
        <v>4</v>
      </c>
      <c r="BD70" s="64">
        <v>14</v>
      </c>
    </row>
    <row r="71" spans="1:91" x14ac:dyDescent="0.3">
      <c r="A71" s="5">
        <v>75562915636</v>
      </c>
      <c r="B71" s="6">
        <v>45900</v>
      </c>
      <c r="C71" s="11">
        <v>0.49416666666666664</v>
      </c>
      <c r="D71" s="5" t="s">
        <v>30</v>
      </c>
      <c r="E71" s="11">
        <v>45902</v>
      </c>
      <c r="F71" s="11">
        <v>0.64657407407407408</v>
      </c>
      <c r="G71" s="5" t="s">
        <v>18</v>
      </c>
      <c r="H71" s="5" t="s">
        <v>18</v>
      </c>
      <c r="I71" s="5" t="s">
        <v>19</v>
      </c>
      <c r="J71" s="5">
        <v>7365849190</v>
      </c>
      <c r="K71" s="5" t="s">
        <v>90</v>
      </c>
      <c r="L71" s="5" t="s">
        <v>91</v>
      </c>
      <c r="M71" s="5" t="s">
        <v>22</v>
      </c>
      <c r="N71" s="5" t="s">
        <v>63</v>
      </c>
      <c r="O71" s="5">
        <v>5</v>
      </c>
      <c r="P71" s="5" t="s">
        <v>24</v>
      </c>
      <c r="Q71" s="5" t="s">
        <v>25</v>
      </c>
      <c r="U71" s="5">
        <v>75541522640</v>
      </c>
      <c r="V71" s="11">
        <v>45886</v>
      </c>
      <c r="W71" s="11">
        <v>0.3908564814814815</v>
      </c>
      <c r="X71" s="5">
        <f t="shared" si="10"/>
        <v>8</v>
      </c>
      <c r="Y71" s="5">
        <f t="shared" si="14"/>
        <v>34</v>
      </c>
      <c r="Z71" s="5">
        <f t="shared" si="15"/>
        <v>17</v>
      </c>
      <c r="AA71" s="5">
        <f t="shared" si="16"/>
        <v>1</v>
      </c>
      <c r="AB71" s="5" t="str">
        <f t="shared" si="17"/>
        <v>9 - 10 hr</v>
      </c>
      <c r="AC71" s="5" t="s">
        <v>26</v>
      </c>
      <c r="AD71" s="11"/>
      <c r="AE71" s="11"/>
      <c r="AF71" s="5" t="s">
        <v>18</v>
      </c>
      <c r="AG71" s="5" t="s">
        <v>18</v>
      </c>
      <c r="AH71" s="5" t="s">
        <v>27</v>
      </c>
      <c r="AI71" s="5">
        <v>9529104043</v>
      </c>
      <c r="AJ71" s="5" t="s">
        <v>143</v>
      </c>
      <c r="AK71" s="5" t="s">
        <v>104</v>
      </c>
      <c r="AL71" s="5" t="s">
        <v>22</v>
      </c>
      <c r="AM71" s="5" t="s">
        <v>72</v>
      </c>
      <c r="AN71" s="5">
        <v>2</v>
      </c>
      <c r="AO71" s="5" t="s">
        <v>34</v>
      </c>
      <c r="AP71" s="5" t="s">
        <v>67</v>
      </c>
      <c r="AQ71" s="5" t="str">
        <f t="shared" si="11"/>
        <v>Issue_pending</v>
      </c>
      <c r="AR71" s="5" t="str">
        <f t="shared" si="12"/>
        <v>Issue_pending</v>
      </c>
      <c r="AS71" s="5" t="str">
        <f t="shared" si="13"/>
        <v>Issue_pending</v>
      </c>
      <c r="AT71" s="5">
        <f t="shared" ca="1" si="18"/>
        <v>44</v>
      </c>
      <c r="AU71" s="5" t="str">
        <f t="shared" ca="1" si="19"/>
        <v>&gt;20 days</v>
      </c>
      <c r="AZ71" s="3" t="s">
        <v>39</v>
      </c>
      <c r="BA71" s="64">
        <v>1</v>
      </c>
      <c r="BB71" s="64">
        <v>8</v>
      </c>
      <c r="BC71" s="64">
        <v>4</v>
      </c>
      <c r="BD71" s="64">
        <v>13</v>
      </c>
    </row>
    <row r="72" spans="1:91" x14ac:dyDescent="0.3">
      <c r="A72" s="5">
        <v>75563894795</v>
      </c>
      <c r="B72" s="6">
        <v>45896</v>
      </c>
      <c r="C72" s="11">
        <v>0.83298611111111109</v>
      </c>
      <c r="D72" s="5" t="s">
        <v>17</v>
      </c>
      <c r="E72" s="11">
        <v>45902</v>
      </c>
      <c r="F72" s="11">
        <v>0.63937500000000003</v>
      </c>
      <c r="G72" s="5" t="s">
        <v>18</v>
      </c>
      <c r="H72" s="5" t="s">
        <v>18</v>
      </c>
      <c r="I72" s="5" t="s">
        <v>19</v>
      </c>
      <c r="J72" s="5">
        <v>7391807468</v>
      </c>
      <c r="K72" s="5" t="s">
        <v>151</v>
      </c>
      <c r="L72" s="5" t="s">
        <v>152</v>
      </c>
      <c r="M72" s="5" t="s">
        <v>33</v>
      </c>
      <c r="N72" s="5" t="s">
        <v>94</v>
      </c>
      <c r="O72" s="5">
        <v>5</v>
      </c>
      <c r="P72" s="5" t="s">
        <v>24</v>
      </c>
      <c r="Q72" s="5" t="s">
        <v>25</v>
      </c>
      <c r="U72" s="5">
        <v>75492027526</v>
      </c>
      <c r="V72" s="11">
        <v>45886</v>
      </c>
      <c r="W72" s="11">
        <v>0.80753472222222222</v>
      </c>
      <c r="X72" s="5">
        <f t="shared" si="10"/>
        <v>8</v>
      </c>
      <c r="Y72" s="5">
        <f t="shared" si="14"/>
        <v>34</v>
      </c>
      <c r="Z72" s="5">
        <f t="shared" si="15"/>
        <v>17</v>
      </c>
      <c r="AA72" s="5">
        <f t="shared" si="16"/>
        <v>1</v>
      </c>
      <c r="AB72" s="5" t="str">
        <f t="shared" si="17"/>
        <v>19 - 20 hr</v>
      </c>
      <c r="AC72" s="5" t="s">
        <v>46</v>
      </c>
      <c r="AD72" s="11">
        <v>45891</v>
      </c>
      <c r="AE72" s="11">
        <v>0.75218750000000001</v>
      </c>
      <c r="AF72" s="5" t="s">
        <v>18</v>
      </c>
      <c r="AG72" s="5" t="s">
        <v>18</v>
      </c>
      <c r="AH72" s="5" t="s">
        <v>19</v>
      </c>
      <c r="AI72" s="5">
        <v>8778059107</v>
      </c>
      <c r="AJ72" s="5" t="s">
        <v>377</v>
      </c>
      <c r="AK72" s="5" t="s">
        <v>324</v>
      </c>
      <c r="AL72" s="5" t="s">
        <v>22</v>
      </c>
      <c r="AM72" s="5" t="s">
        <v>63</v>
      </c>
      <c r="AN72" s="5">
        <v>3</v>
      </c>
      <c r="AO72" s="5" t="s">
        <v>24</v>
      </c>
      <c r="AP72" s="5" t="s">
        <v>25</v>
      </c>
      <c r="AQ72" s="5">
        <f t="shared" si="11"/>
        <v>118.67166666663252</v>
      </c>
      <c r="AR72" s="5">
        <f t="shared" si="12"/>
        <v>4.9400000000000004</v>
      </c>
      <c r="AS72" s="5" t="str">
        <f t="shared" si="13"/>
        <v>5-8 days</v>
      </c>
      <c r="AT72" s="5" t="str">
        <f t="shared" ca="1" si="18"/>
        <v>STATUS-COMPLETE</v>
      </c>
      <c r="AU72" s="5" t="str">
        <f t="shared" ca="1" si="19"/>
        <v>STATUS-COMPLETE</v>
      </c>
      <c r="AZ72" s="3" t="s">
        <v>63</v>
      </c>
      <c r="BA72" s="64">
        <v>3</v>
      </c>
      <c r="BB72" s="64">
        <v>4</v>
      </c>
      <c r="BC72" s="64">
        <v>5</v>
      </c>
      <c r="BD72" s="64">
        <v>12</v>
      </c>
    </row>
    <row r="73" spans="1:91" x14ac:dyDescent="0.3">
      <c r="A73" s="5">
        <v>75570894498</v>
      </c>
      <c r="B73" s="6">
        <v>45897</v>
      </c>
      <c r="C73" s="11">
        <v>0.87187499999999996</v>
      </c>
      <c r="D73" s="5" t="s">
        <v>48</v>
      </c>
      <c r="E73" s="11"/>
      <c r="F73" s="11"/>
      <c r="G73" s="5" t="s">
        <v>18</v>
      </c>
      <c r="H73" s="5" t="s">
        <v>18</v>
      </c>
      <c r="I73" s="5" t="s">
        <v>49</v>
      </c>
      <c r="J73" s="5">
        <v>8113219231</v>
      </c>
      <c r="K73" s="5" t="s">
        <v>50</v>
      </c>
      <c r="L73" s="5" t="s">
        <v>51</v>
      </c>
      <c r="M73" s="5" t="s">
        <v>29</v>
      </c>
      <c r="N73" s="5" t="s">
        <v>52</v>
      </c>
      <c r="O73" s="5">
        <v>3</v>
      </c>
      <c r="P73" s="5" t="s">
        <v>34</v>
      </c>
      <c r="Q73" s="5" t="s">
        <v>35</v>
      </c>
      <c r="U73" s="5">
        <v>75696311802</v>
      </c>
      <c r="V73" s="11">
        <v>45887</v>
      </c>
      <c r="W73" s="11">
        <v>0.63854166666666667</v>
      </c>
      <c r="X73" s="5">
        <f t="shared" si="10"/>
        <v>8</v>
      </c>
      <c r="Y73" s="5">
        <f t="shared" si="14"/>
        <v>34</v>
      </c>
      <c r="Z73" s="5">
        <f t="shared" si="15"/>
        <v>18</v>
      </c>
      <c r="AA73" s="5">
        <f t="shared" si="16"/>
        <v>2</v>
      </c>
      <c r="AB73" s="5" t="str">
        <f t="shared" si="17"/>
        <v>15 - 16 hr</v>
      </c>
      <c r="AC73" s="5" t="s">
        <v>17</v>
      </c>
      <c r="AD73" s="11">
        <v>45895</v>
      </c>
      <c r="AE73" s="11">
        <v>0.46122685185185186</v>
      </c>
      <c r="AF73" s="5" t="s">
        <v>18</v>
      </c>
      <c r="AG73" s="5" t="s">
        <v>18</v>
      </c>
      <c r="AH73" s="5" t="s">
        <v>49</v>
      </c>
      <c r="AI73" s="5">
        <v>8551019709</v>
      </c>
      <c r="AJ73" s="5" t="s">
        <v>291</v>
      </c>
      <c r="AK73" s="5" t="s">
        <v>218</v>
      </c>
      <c r="AL73" s="5" t="s">
        <v>29</v>
      </c>
      <c r="AM73" s="5" t="s">
        <v>66</v>
      </c>
      <c r="AN73" s="5">
        <v>4</v>
      </c>
      <c r="AO73" s="5" t="s">
        <v>24</v>
      </c>
      <c r="AP73" s="5" t="s">
        <v>25</v>
      </c>
      <c r="AQ73" s="5">
        <f t="shared" si="11"/>
        <v>187.74444444448454</v>
      </c>
      <c r="AR73" s="5">
        <f t="shared" si="12"/>
        <v>7.82</v>
      </c>
      <c r="AS73" s="5" t="str">
        <f t="shared" si="13"/>
        <v>5-8 days</v>
      </c>
      <c r="AT73" s="5" t="str">
        <f t="shared" ca="1" si="18"/>
        <v>STATUS-COMPLETE</v>
      </c>
      <c r="AU73" s="5" t="str">
        <f t="shared" ca="1" si="19"/>
        <v>STATUS-COMPLETE</v>
      </c>
      <c r="AZ73" s="3" t="s">
        <v>203</v>
      </c>
      <c r="BA73" s="64">
        <v>3</v>
      </c>
      <c r="BB73" s="64">
        <v>6</v>
      </c>
      <c r="BC73" s="64">
        <v>3</v>
      </c>
      <c r="BD73" s="64">
        <v>12</v>
      </c>
    </row>
    <row r="74" spans="1:91" x14ac:dyDescent="0.3">
      <c r="A74" s="5">
        <v>75574429624</v>
      </c>
      <c r="B74" s="6">
        <v>45883</v>
      </c>
      <c r="C74" s="11">
        <v>0.76083333333333336</v>
      </c>
      <c r="D74" s="5" t="s">
        <v>55</v>
      </c>
      <c r="E74" s="11">
        <v>45895</v>
      </c>
      <c r="F74" s="11">
        <v>0.66601851851851857</v>
      </c>
      <c r="G74" s="5" t="s">
        <v>18</v>
      </c>
      <c r="H74" s="5" t="s">
        <v>18</v>
      </c>
      <c r="I74" s="5" t="s">
        <v>49</v>
      </c>
      <c r="J74" s="5">
        <v>9907843037</v>
      </c>
      <c r="K74" s="5" t="s">
        <v>282</v>
      </c>
      <c r="L74" s="5" t="s">
        <v>65</v>
      </c>
      <c r="M74" s="5" t="s">
        <v>33</v>
      </c>
      <c r="N74" s="5" t="s">
        <v>66</v>
      </c>
      <c r="O74" s="5">
        <v>1</v>
      </c>
      <c r="P74" s="5" t="s">
        <v>24</v>
      </c>
      <c r="Q74" s="5" t="s">
        <v>25</v>
      </c>
      <c r="U74" s="5">
        <v>75528205773</v>
      </c>
      <c r="V74" s="11">
        <v>45887</v>
      </c>
      <c r="W74" s="11">
        <v>0.7388541666666667</v>
      </c>
      <c r="X74" s="5">
        <f t="shared" si="10"/>
        <v>8</v>
      </c>
      <c r="Y74" s="5">
        <f t="shared" si="14"/>
        <v>34</v>
      </c>
      <c r="Z74" s="5">
        <f t="shared" si="15"/>
        <v>18</v>
      </c>
      <c r="AA74" s="5">
        <f t="shared" si="16"/>
        <v>2</v>
      </c>
      <c r="AB74" s="5" t="str">
        <f t="shared" si="17"/>
        <v>17 - 18 hr</v>
      </c>
      <c r="AC74" s="5" t="s">
        <v>43</v>
      </c>
      <c r="AD74" s="11"/>
      <c r="AE74" s="11"/>
      <c r="AF74" s="5" t="s">
        <v>18</v>
      </c>
      <c r="AG74" s="5" t="s">
        <v>18</v>
      </c>
      <c r="AH74" s="5" t="s">
        <v>49</v>
      </c>
      <c r="AI74" s="5">
        <v>7770278136</v>
      </c>
      <c r="AJ74" s="5" t="s">
        <v>341</v>
      </c>
      <c r="AK74" s="5" t="s">
        <v>342</v>
      </c>
      <c r="AL74" s="5" t="s">
        <v>33</v>
      </c>
      <c r="AM74" s="5" t="s">
        <v>52</v>
      </c>
      <c r="AN74" s="5">
        <v>7</v>
      </c>
      <c r="AO74" s="5" t="s">
        <v>34</v>
      </c>
      <c r="AP74" s="5" t="s">
        <v>35</v>
      </c>
      <c r="AQ74" s="5" t="str">
        <f t="shared" si="11"/>
        <v>Issue_pending</v>
      </c>
      <c r="AR74" s="5" t="str">
        <f t="shared" si="12"/>
        <v>Issue_pending</v>
      </c>
      <c r="AS74" s="5" t="str">
        <f t="shared" si="13"/>
        <v>Issue_pending</v>
      </c>
      <c r="AT74" s="5">
        <f t="shared" ca="1" si="18"/>
        <v>43</v>
      </c>
      <c r="AU74" s="5" t="str">
        <f t="shared" ca="1" si="19"/>
        <v>&gt;20 days</v>
      </c>
      <c r="AZ74" s="3" t="s">
        <v>52</v>
      </c>
      <c r="BA74" s="64">
        <v>2</v>
      </c>
      <c r="BB74" s="64">
        <v>4</v>
      </c>
      <c r="BC74" s="64">
        <v>6</v>
      </c>
      <c r="BD74" s="64">
        <v>12</v>
      </c>
    </row>
    <row r="75" spans="1:91" x14ac:dyDescent="0.3">
      <c r="A75" s="5">
        <v>75574485243</v>
      </c>
      <c r="B75" s="6">
        <v>45879</v>
      </c>
      <c r="C75" s="11">
        <v>0.65262731481481484</v>
      </c>
      <c r="D75" s="5" t="s">
        <v>30</v>
      </c>
      <c r="E75" s="11">
        <v>45888</v>
      </c>
      <c r="F75" s="11">
        <v>0.47290509259259261</v>
      </c>
      <c r="G75" s="5" t="s">
        <v>18</v>
      </c>
      <c r="H75" s="5" t="s">
        <v>18</v>
      </c>
      <c r="I75" s="5" t="s">
        <v>36</v>
      </c>
      <c r="J75" s="5">
        <v>9550027973</v>
      </c>
      <c r="K75" s="5" t="s">
        <v>230</v>
      </c>
      <c r="L75" s="5" t="s">
        <v>132</v>
      </c>
      <c r="M75" s="5" t="s">
        <v>33</v>
      </c>
      <c r="N75" s="5" t="s">
        <v>39</v>
      </c>
      <c r="O75" s="5">
        <v>1</v>
      </c>
      <c r="P75" s="5" t="s">
        <v>24</v>
      </c>
      <c r="Q75" s="5" t="s">
        <v>25</v>
      </c>
      <c r="U75" s="5">
        <v>75780968571</v>
      </c>
      <c r="V75" s="11">
        <v>45887</v>
      </c>
      <c r="W75" s="11">
        <v>0.46614583333333331</v>
      </c>
      <c r="X75" s="5">
        <f t="shared" si="10"/>
        <v>8</v>
      </c>
      <c r="Y75" s="5">
        <f t="shared" si="14"/>
        <v>34</v>
      </c>
      <c r="Z75" s="5">
        <f t="shared" si="15"/>
        <v>18</v>
      </c>
      <c r="AA75" s="5">
        <f t="shared" si="16"/>
        <v>2</v>
      </c>
      <c r="AB75" s="5" t="str">
        <f t="shared" si="17"/>
        <v>11 - 12 hr</v>
      </c>
      <c r="AC75" s="5" t="s">
        <v>58</v>
      </c>
      <c r="AD75" s="11">
        <v>45899</v>
      </c>
      <c r="AE75" s="11">
        <v>0.40849537037037037</v>
      </c>
      <c r="AF75" s="5" t="s">
        <v>18</v>
      </c>
      <c r="AG75" s="5" t="s">
        <v>18</v>
      </c>
      <c r="AH75" s="5" t="s">
        <v>36</v>
      </c>
      <c r="AI75" s="5">
        <v>8365818354</v>
      </c>
      <c r="AJ75" s="5" t="s">
        <v>360</v>
      </c>
      <c r="AK75" s="5" t="s">
        <v>229</v>
      </c>
      <c r="AL75" s="5" t="s">
        <v>29</v>
      </c>
      <c r="AM75" s="5" t="s">
        <v>39</v>
      </c>
      <c r="AN75" s="5">
        <v>3</v>
      </c>
      <c r="AO75" s="5" t="s">
        <v>24</v>
      </c>
      <c r="AP75" s="5" t="s">
        <v>25</v>
      </c>
      <c r="AQ75" s="5">
        <f t="shared" si="11"/>
        <v>286.616388888855</v>
      </c>
      <c r="AR75" s="5">
        <f t="shared" si="12"/>
        <v>11.94</v>
      </c>
      <c r="AS75" s="5" t="str">
        <f t="shared" si="13"/>
        <v>9-12 days</v>
      </c>
      <c r="AT75" s="5" t="str">
        <f t="shared" ca="1" si="18"/>
        <v>STATUS-COMPLETE</v>
      </c>
      <c r="AU75" s="5" t="str">
        <f t="shared" ca="1" si="19"/>
        <v>STATUS-COMPLETE</v>
      </c>
      <c r="AZ75" s="3" t="s">
        <v>76</v>
      </c>
      <c r="BA75" s="64">
        <v>4</v>
      </c>
      <c r="BB75" s="64">
        <v>4</v>
      </c>
      <c r="BC75" s="64">
        <v>3</v>
      </c>
      <c r="BD75" s="64">
        <v>11</v>
      </c>
    </row>
    <row r="76" spans="1:91" x14ac:dyDescent="0.3">
      <c r="A76" s="5">
        <v>75575913951</v>
      </c>
      <c r="B76" s="6">
        <v>45912</v>
      </c>
      <c r="C76" s="11">
        <v>0.68232638888888886</v>
      </c>
      <c r="D76" s="5" t="s">
        <v>46</v>
      </c>
      <c r="E76" s="11">
        <v>45914</v>
      </c>
      <c r="F76" s="11">
        <v>0.40634259259259259</v>
      </c>
      <c r="G76" s="5" t="s">
        <v>18</v>
      </c>
      <c r="H76" s="5" t="s">
        <v>18</v>
      </c>
      <c r="I76" s="5" t="s">
        <v>19</v>
      </c>
      <c r="J76" s="5">
        <v>8113457241</v>
      </c>
      <c r="K76" s="5" t="s">
        <v>336</v>
      </c>
      <c r="L76" s="5" t="s">
        <v>324</v>
      </c>
      <c r="M76" s="5" t="s">
        <v>22</v>
      </c>
      <c r="N76" s="5" t="s">
        <v>63</v>
      </c>
      <c r="O76" s="5">
        <v>6</v>
      </c>
      <c r="P76" s="5" t="s">
        <v>24</v>
      </c>
      <c r="Q76" s="5" t="s">
        <v>25</v>
      </c>
      <c r="U76" s="5">
        <v>75432816979</v>
      </c>
      <c r="V76" s="11">
        <v>45887</v>
      </c>
      <c r="W76" s="11">
        <v>0.51633101851851848</v>
      </c>
      <c r="X76" s="5">
        <f t="shared" si="10"/>
        <v>8</v>
      </c>
      <c r="Y76" s="5">
        <f t="shared" si="14"/>
        <v>34</v>
      </c>
      <c r="Z76" s="5">
        <f t="shared" si="15"/>
        <v>18</v>
      </c>
      <c r="AA76" s="5">
        <f t="shared" si="16"/>
        <v>2</v>
      </c>
      <c r="AB76" s="5" t="str">
        <f t="shared" si="17"/>
        <v>12 - 13 hr</v>
      </c>
      <c r="AC76" s="5" t="s">
        <v>58</v>
      </c>
      <c r="AD76" s="11">
        <v>45895</v>
      </c>
      <c r="AE76" s="11">
        <v>0.72615740740740742</v>
      </c>
      <c r="AF76" s="5" t="s">
        <v>18</v>
      </c>
      <c r="AG76" s="5" t="s">
        <v>18</v>
      </c>
      <c r="AH76" s="5" t="s">
        <v>19</v>
      </c>
      <c r="AI76" s="5">
        <v>8915999663</v>
      </c>
      <c r="AJ76" s="5" t="s">
        <v>386</v>
      </c>
      <c r="AK76" s="5" t="s">
        <v>324</v>
      </c>
      <c r="AL76" s="5" t="s">
        <v>22</v>
      </c>
      <c r="AM76" s="5" t="s">
        <v>63</v>
      </c>
      <c r="AN76" s="5">
        <v>7</v>
      </c>
      <c r="AO76" s="5" t="s">
        <v>24</v>
      </c>
      <c r="AP76" s="5" t="s">
        <v>25</v>
      </c>
      <c r="AQ76" s="5">
        <f t="shared" si="11"/>
        <v>197.03583333338611</v>
      </c>
      <c r="AR76" s="5">
        <f t="shared" si="12"/>
        <v>8.2100000000000009</v>
      </c>
      <c r="AS76" s="5" t="str">
        <f t="shared" si="13"/>
        <v>9-12 days</v>
      </c>
      <c r="AT76" s="5" t="str">
        <f t="shared" ca="1" si="18"/>
        <v>STATUS-COMPLETE</v>
      </c>
      <c r="AU76" s="5" t="str">
        <f t="shared" ca="1" si="19"/>
        <v>STATUS-COMPLETE</v>
      </c>
      <c r="AZ76" s="3" t="s">
        <v>116</v>
      </c>
      <c r="BA76" s="64">
        <v>6</v>
      </c>
      <c r="BB76" s="64">
        <v>2</v>
      </c>
      <c r="BC76" s="64">
        <v>3</v>
      </c>
      <c r="BD76" s="64">
        <v>11</v>
      </c>
    </row>
    <row r="77" spans="1:91" x14ac:dyDescent="0.3">
      <c r="A77" s="5">
        <v>75581747678</v>
      </c>
      <c r="B77" s="6">
        <v>45913</v>
      </c>
      <c r="C77" s="11">
        <v>0.4906712962962963</v>
      </c>
      <c r="D77" s="5" t="s">
        <v>48</v>
      </c>
      <c r="E77" s="11">
        <v>45921</v>
      </c>
      <c r="F77" s="11">
        <v>0.68692129629629628</v>
      </c>
      <c r="G77" s="5" t="s">
        <v>18</v>
      </c>
      <c r="H77" s="5" t="s">
        <v>18</v>
      </c>
      <c r="I77" s="5" t="s">
        <v>49</v>
      </c>
      <c r="J77" s="5">
        <v>7790479137</v>
      </c>
      <c r="K77" s="5" t="s">
        <v>275</v>
      </c>
      <c r="L77" s="5" t="s">
        <v>244</v>
      </c>
      <c r="M77" s="5" t="s">
        <v>33</v>
      </c>
      <c r="N77" s="5" t="s">
        <v>66</v>
      </c>
      <c r="O77" s="5">
        <v>1</v>
      </c>
      <c r="P77" s="5" t="s">
        <v>24</v>
      </c>
      <c r="Q77" s="5" t="s">
        <v>25</v>
      </c>
      <c r="U77" s="5">
        <v>75874997731</v>
      </c>
      <c r="V77" s="11">
        <v>45888</v>
      </c>
      <c r="W77" s="11">
        <v>0.8033217592592593</v>
      </c>
      <c r="X77" s="5">
        <f t="shared" si="10"/>
        <v>8</v>
      </c>
      <c r="Y77" s="5">
        <f t="shared" si="14"/>
        <v>34</v>
      </c>
      <c r="Z77" s="5">
        <f t="shared" si="15"/>
        <v>19</v>
      </c>
      <c r="AA77" s="5">
        <f t="shared" si="16"/>
        <v>3</v>
      </c>
      <c r="AB77" s="5" t="str">
        <f t="shared" si="17"/>
        <v>19 - 20 hr</v>
      </c>
      <c r="AC77" s="5" t="s">
        <v>48</v>
      </c>
      <c r="AD77" s="11"/>
      <c r="AE77" s="11"/>
      <c r="AF77" s="5" t="s">
        <v>18</v>
      </c>
      <c r="AG77" s="5" t="s">
        <v>18</v>
      </c>
      <c r="AH77" s="5" t="s">
        <v>27</v>
      </c>
      <c r="AI77" s="5">
        <v>7919066362</v>
      </c>
      <c r="AJ77" s="5" t="s">
        <v>240</v>
      </c>
      <c r="AK77" s="5" t="s">
        <v>115</v>
      </c>
      <c r="AL77" s="5" t="s">
        <v>33</v>
      </c>
      <c r="AM77" s="5" t="s">
        <v>116</v>
      </c>
      <c r="AN77" s="5">
        <v>2</v>
      </c>
      <c r="AO77" s="5" t="s">
        <v>34</v>
      </c>
      <c r="AP77" s="5" t="s">
        <v>67</v>
      </c>
      <c r="AQ77" s="5" t="str">
        <f t="shared" si="11"/>
        <v>Issue_pending</v>
      </c>
      <c r="AR77" s="5" t="str">
        <f t="shared" si="12"/>
        <v>Issue_pending</v>
      </c>
      <c r="AS77" s="5" t="str">
        <f t="shared" si="13"/>
        <v>Issue_pending</v>
      </c>
      <c r="AT77" s="5">
        <f t="shared" ca="1" si="18"/>
        <v>42</v>
      </c>
      <c r="AU77" s="5" t="str">
        <f t="shared" ca="1" si="19"/>
        <v>&gt;20 days</v>
      </c>
      <c r="AZ77" s="3" t="s">
        <v>94</v>
      </c>
      <c r="BA77" s="64">
        <v>1</v>
      </c>
      <c r="BB77" s="64">
        <v>5</v>
      </c>
      <c r="BC77" s="64">
        <v>5</v>
      </c>
      <c r="BD77" s="64">
        <v>11</v>
      </c>
    </row>
    <row r="78" spans="1:91" x14ac:dyDescent="0.3">
      <c r="A78" s="5">
        <v>75588436227</v>
      </c>
      <c r="B78" s="6">
        <v>45917</v>
      </c>
      <c r="C78" s="11">
        <v>0.78796296296296298</v>
      </c>
      <c r="D78" s="5" t="s">
        <v>55</v>
      </c>
      <c r="E78" s="11">
        <v>45922</v>
      </c>
      <c r="F78" s="11">
        <v>0.78041666666666665</v>
      </c>
      <c r="G78" s="5" t="s">
        <v>18</v>
      </c>
      <c r="H78" s="5" t="s">
        <v>18</v>
      </c>
      <c r="I78" s="5" t="s">
        <v>36</v>
      </c>
      <c r="J78" s="5">
        <v>8836971472</v>
      </c>
      <c r="K78" s="5" t="s">
        <v>247</v>
      </c>
      <c r="L78" s="5" t="s">
        <v>248</v>
      </c>
      <c r="M78" s="5" t="s">
        <v>82</v>
      </c>
      <c r="N78" s="5" t="s">
        <v>39</v>
      </c>
      <c r="O78" s="5">
        <v>1</v>
      </c>
      <c r="P78" s="5" t="s">
        <v>24</v>
      </c>
      <c r="Q78" s="5" t="s">
        <v>25</v>
      </c>
      <c r="U78" s="5">
        <v>75488087644</v>
      </c>
      <c r="V78" s="11">
        <v>45888</v>
      </c>
      <c r="W78" s="11">
        <v>0.54819444444444443</v>
      </c>
      <c r="X78" s="5">
        <f t="shared" si="10"/>
        <v>8</v>
      </c>
      <c r="Y78" s="5">
        <f t="shared" si="14"/>
        <v>34</v>
      </c>
      <c r="Z78" s="5">
        <f t="shared" si="15"/>
        <v>19</v>
      </c>
      <c r="AA78" s="5">
        <f t="shared" si="16"/>
        <v>3</v>
      </c>
      <c r="AB78" s="5" t="str">
        <f t="shared" si="17"/>
        <v>13 - 14 hr</v>
      </c>
      <c r="AC78" s="5" t="s">
        <v>95</v>
      </c>
      <c r="AD78" s="11"/>
      <c r="AE78" s="11"/>
      <c r="AF78" s="5" t="s">
        <v>18</v>
      </c>
      <c r="AG78" s="5" t="s">
        <v>18</v>
      </c>
      <c r="AH78" s="5" t="s">
        <v>27</v>
      </c>
      <c r="AI78" s="5">
        <v>8673413661</v>
      </c>
      <c r="AJ78" s="5" t="s">
        <v>286</v>
      </c>
      <c r="AK78" s="5" t="s">
        <v>287</v>
      </c>
      <c r="AL78" s="5" t="s">
        <v>22</v>
      </c>
      <c r="AM78" s="5" t="s">
        <v>203</v>
      </c>
      <c r="AN78" s="5">
        <v>3</v>
      </c>
      <c r="AO78" s="5" t="s">
        <v>34</v>
      </c>
      <c r="AP78" s="5" t="s">
        <v>35</v>
      </c>
      <c r="AQ78" s="5" t="str">
        <f t="shared" si="11"/>
        <v>Issue_pending</v>
      </c>
      <c r="AR78" s="5" t="str">
        <f t="shared" si="12"/>
        <v>Issue_pending</v>
      </c>
      <c r="AS78" s="5" t="str">
        <f t="shared" si="13"/>
        <v>Issue_pending</v>
      </c>
      <c r="AT78" s="5">
        <f t="shared" ca="1" si="18"/>
        <v>42</v>
      </c>
      <c r="AU78" s="5" t="str">
        <f t="shared" ca="1" si="19"/>
        <v>&gt;20 days</v>
      </c>
      <c r="AZ78" s="3" t="s">
        <v>142</v>
      </c>
      <c r="BA78" s="64">
        <v>4</v>
      </c>
      <c r="BB78" s="64">
        <v>3</v>
      </c>
      <c r="BC78" s="64">
        <v>3</v>
      </c>
      <c r="BD78" s="64">
        <v>10</v>
      </c>
    </row>
    <row r="79" spans="1:91" x14ac:dyDescent="0.3">
      <c r="A79" s="5">
        <v>75588751681</v>
      </c>
      <c r="B79" s="6">
        <v>45872</v>
      </c>
      <c r="C79" s="11">
        <v>0.4120949074074074</v>
      </c>
      <c r="D79" s="5" t="s">
        <v>48</v>
      </c>
      <c r="E79" s="11"/>
      <c r="F79" s="11"/>
      <c r="G79" s="5" t="s">
        <v>18</v>
      </c>
      <c r="H79" s="5" t="s">
        <v>18</v>
      </c>
      <c r="I79" s="5" t="s">
        <v>49</v>
      </c>
      <c r="J79" s="5">
        <v>7800202342</v>
      </c>
      <c r="K79" s="5" t="s">
        <v>243</v>
      </c>
      <c r="L79" s="5" t="s">
        <v>244</v>
      </c>
      <c r="M79" s="5" t="s">
        <v>29</v>
      </c>
      <c r="N79" s="5" t="s">
        <v>66</v>
      </c>
      <c r="O79" s="5">
        <v>3</v>
      </c>
      <c r="P79" s="5" t="s">
        <v>34</v>
      </c>
      <c r="Q79" s="5" t="s">
        <v>67</v>
      </c>
      <c r="U79" s="5">
        <v>75410290140</v>
      </c>
      <c r="V79" s="11">
        <v>45888</v>
      </c>
      <c r="W79" s="11">
        <v>0.67236111111111108</v>
      </c>
      <c r="X79" s="5">
        <f t="shared" si="10"/>
        <v>8</v>
      </c>
      <c r="Y79" s="5">
        <f t="shared" si="14"/>
        <v>34</v>
      </c>
      <c r="Z79" s="5">
        <f t="shared" si="15"/>
        <v>19</v>
      </c>
      <c r="AA79" s="5">
        <f t="shared" si="16"/>
        <v>3</v>
      </c>
      <c r="AB79" s="5" t="str">
        <f t="shared" si="17"/>
        <v>16 - 17 hr</v>
      </c>
      <c r="AC79" s="5" t="s">
        <v>55</v>
      </c>
      <c r="AD79" s="11">
        <v>45894</v>
      </c>
      <c r="AE79" s="11">
        <v>0.69378472222222221</v>
      </c>
      <c r="AF79" s="5" t="s">
        <v>18</v>
      </c>
      <c r="AG79" s="5" t="s">
        <v>18</v>
      </c>
      <c r="AH79" s="5" t="s">
        <v>27</v>
      </c>
      <c r="AI79" s="5">
        <v>9411976659</v>
      </c>
      <c r="AJ79" s="5" t="s">
        <v>310</v>
      </c>
      <c r="AK79" s="5" t="s">
        <v>220</v>
      </c>
      <c r="AL79" s="5" t="s">
        <v>33</v>
      </c>
      <c r="AM79" s="5" t="s">
        <v>203</v>
      </c>
      <c r="AN79" s="5">
        <v>3</v>
      </c>
      <c r="AO79" s="5" t="s">
        <v>24</v>
      </c>
      <c r="AP79" s="5" t="s">
        <v>25</v>
      </c>
      <c r="AQ79" s="5">
        <f t="shared" si="11"/>
        <v>144.51416666671867</v>
      </c>
      <c r="AR79" s="5">
        <f t="shared" si="12"/>
        <v>6.02</v>
      </c>
      <c r="AS79" s="5" t="str">
        <f t="shared" si="13"/>
        <v>5-8 days</v>
      </c>
      <c r="AT79" s="5" t="str">
        <f t="shared" ca="1" si="18"/>
        <v>STATUS-COMPLETE</v>
      </c>
      <c r="AU79" s="5" t="str">
        <f t="shared" ca="1" si="19"/>
        <v>STATUS-COMPLETE</v>
      </c>
      <c r="AZ79" s="3" t="s">
        <v>102</v>
      </c>
      <c r="BA79" s="64">
        <v>1</v>
      </c>
      <c r="BB79" s="64">
        <v>5</v>
      </c>
      <c r="BC79" s="64">
        <v>4</v>
      </c>
      <c r="BD79" s="64">
        <v>10</v>
      </c>
    </row>
    <row r="80" spans="1:91" x14ac:dyDescent="0.3">
      <c r="A80" s="5">
        <v>75591735734</v>
      </c>
      <c r="B80" s="6">
        <v>45892</v>
      </c>
      <c r="C80" s="11">
        <v>0.76113425925925926</v>
      </c>
      <c r="D80" s="5" t="s">
        <v>17</v>
      </c>
      <c r="E80" s="11">
        <v>45899</v>
      </c>
      <c r="F80" s="11">
        <v>0.72292824074074069</v>
      </c>
      <c r="G80" s="5" t="s">
        <v>18</v>
      </c>
      <c r="H80" s="5" t="s">
        <v>18</v>
      </c>
      <c r="I80" s="5" t="s">
        <v>19</v>
      </c>
      <c r="J80" s="5">
        <v>9562254028</v>
      </c>
      <c r="K80" s="5" t="s">
        <v>20</v>
      </c>
      <c r="L80" s="5" t="s">
        <v>21</v>
      </c>
      <c r="M80" s="5" t="s">
        <v>22</v>
      </c>
      <c r="N80" s="5" t="s">
        <v>23</v>
      </c>
      <c r="O80" s="5">
        <v>6</v>
      </c>
      <c r="P80" s="5" t="s">
        <v>24</v>
      </c>
      <c r="Q80" s="5" t="s">
        <v>25</v>
      </c>
      <c r="U80" s="5">
        <v>75993877361</v>
      </c>
      <c r="V80" s="11">
        <v>45888</v>
      </c>
      <c r="W80" s="11">
        <v>0.66693287037037041</v>
      </c>
      <c r="X80" s="5">
        <f t="shared" si="10"/>
        <v>8</v>
      </c>
      <c r="Y80" s="5">
        <f t="shared" si="14"/>
        <v>34</v>
      </c>
      <c r="Z80" s="5">
        <f t="shared" si="15"/>
        <v>19</v>
      </c>
      <c r="AA80" s="5">
        <f t="shared" si="16"/>
        <v>3</v>
      </c>
      <c r="AB80" s="5" t="str">
        <f t="shared" si="17"/>
        <v>16 - 17 hr</v>
      </c>
      <c r="AC80" s="5" t="s">
        <v>26</v>
      </c>
      <c r="AD80" s="11"/>
      <c r="AE80" s="11"/>
      <c r="AF80" s="5" t="s">
        <v>18</v>
      </c>
      <c r="AG80" s="5" t="s">
        <v>18</v>
      </c>
      <c r="AH80" s="5" t="s">
        <v>27</v>
      </c>
      <c r="AI80" s="5">
        <v>8252391379</v>
      </c>
      <c r="AJ80" s="5" t="s">
        <v>343</v>
      </c>
      <c r="AK80" s="5" t="s">
        <v>233</v>
      </c>
      <c r="AL80" s="5" t="s">
        <v>33</v>
      </c>
      <c r="AM80" s="5" t="s">
        <v>94</v>
      </c>
      <c r="AN80" s="5">
        <v>4</v>
      </c>
      <c r="AO80" s="5" t="s">
        <v>34</v>
      </c>
      <c r="AP80" s="5" t="s">
        <v>60</v>
      </c>
      <c r="AQ80" s="5" t="str">
        <f t="shared" si="11"/>
        <v>Issue_pending</v>
      </c>
      <c r="AR80" s="5" t="str">
        <f t="shared" si="12"/>
        <v>Issue_pending</v>
      </c>
      <c r="AS80" s="5" t="str">
        <f t="shared" si="13"/>
        <v>Issue_pending</v>
      </c>
      <c r="AT80" s="5">
        <f t="shared" ca="1" si="18"/>
        <v>42</v>
      </c>
      <c r="AU80" s="5" t="str">
        <f t="shared" ca="1" si="19"/>
        <v>&gt;20 days</v>
      </c>
      <c r="AZ80" s="3" t="s">
        <v>72</v>
      </c>
      <c r="BA80" s="64">
        <v>1</v>
      </c>
      <c r="BB80" s="64">
        <v>3</v>
      </c>
      <c r="BC80" s="64">
        <v>5</v>
      </c>
      <c r="BD80" s="64">
        <v>9</v>
      </c>
    </row>
    <row r="81" spans="1:56" x14ac:dyDescent="0.3">
      <c r="A81" s="5">
        <v>75592486308</v>
      </c>
      <c r="B81" s="6">
        <v>45902</v>
      </c>
      <c r="C81" s="11">
        <v>0.45701388888888889</v>
      </c>
      <c r="D81" s="5" t="s">
        <v>46</v>
      </c>
      <c r="E81" s="11"/>
      <c r="F81" s="11"/>
      <c r="G81" s="5" t="s">
        <v>18</v>
      </c>
      <c r="H81" s="5" t="s">
        <v>18</v>
      </c>
      <c r="I81" s="5" t="s">
        <v>27</v>
      </c>
      <c r="J81" s="5">
        <v>7639509845</v>
      </c>
      <c r="K81" s="5" t="s">
        <v>278</v>
      </c>
      <c r="L81" s="5" t="s">
        <v>104</v>
      </c>
      <c r="M81" s="5" t="s">
        <v>29</v>
      </c>
      <c r="N81" s="5" t="s">
        <v>72</v>
      </c>
      <c r="O81" s="5">
        <v>4</v>
      </c>
      <c r="P81" s="5" t="s">
        <v>34</v>
      </c>
      <c r="Q81" s="5" t="s">
        <v>35</v>
      </c>
      <c r="U81" s="5">
        <v>75467438668</v>
      </c>
      <c r="V81" s="11">
        <v>45889</v>
      </c>
      <c r="W81" s="11">
        <v>0.45413194444444444</v>
      </c>
      <c r="X81" s="5">
        <f t="shared" si="10"/>
        <v>8</v>
      </c>
      <c r="Y81" s="5">
        <f t="shared" si="14"/>
        <v>34</v>
      </c>
      <c r="Z81" s="5">
        <f t="shared" si="15"/>
        <v>20</v>
      </c>
      <c r="AA81" s="5">
        <f t="shared" si="16"/>
        <v>4</v>
      </c>
      <c r="AB81" s="5" t="str">
        <f t="shared" si="17"/>
        <v>10 - 11 hr</v>
      </c>
      <c r="AC81" s="5" t="s">
        <v>48</v>
      </c>
      <c r="AD81" s="11">
        <v>45893</v>
      </c>
      <c r="AE81" s="11">
        <v>0.65335648148148151</v>
      </c>
      <c r="AF81" s="5" t="s">
        <v>18</v>
      </c>
      <c r="AG81" s="5" t="s">
        <v>18</v>
      </c>
      <c r="AH81" s="5" t="s">
        <v>27</v>
      </c>
      <c r="AI81" s="5">
        <v>9562974666</v>
      </c>
      <c r="AJ81" s="5" t="s">
        <v>188</v>
      </c>
      <c r="AK81" s="5" t="s">
        <v>189</v>
      </c>
      <c r="AL81" s="5" t="s">
        <v>29</v>
      </c>
      <c r="AM81" s="5" t="s">
        <v>76</v>
      </c>
      <c r="AN81" s="5">
        <v>8</v>
      </c>
      <c r="AO81" s="5" t="s">
        <v>24</v>
      </c>
      <c r="AP81" s="5" t="s">
        <v>25</v>
      </c>
      <c r="AQ81" s="5">
        <f t="shared" si="11"/>
        <v>100.78138888883404</v>
      </c>
      <c r="AR81" s="5">
        <f t="shared" si="12"/>
        <v>4.2</v>
      </c>
      <c r="AS81" s="5" t="str">
        <f t="shared" si="13"/>
        <v>5-8 days</v>
      </c>
      <c r="AT81" s="5" t="str">
        <f t="shared" ca="1" si="18"/>
        <v>STATUS-COMPLETE</v>
      </c>
      <c r="AU81" s="5" t="str">
        <f t="shared" ca="1" si="19"/>
        <v>STATUS-COMPLETE</v>
      </c>
      <c r="AZ81" s="3" t="s">
        <v>66</v>
      </c>
      <c r="BA81" s="64">
        <v>1</v>
      </c>
      <c r="BB81" s="64">
        <v>4</v>
      </c>
      <c r="BC81" s="64">
        <v>4</v>
      </c>
      <c r="BD81" s="64">
        <v>9</v>
      </c>
    </row>
    <row r="82" spans="1:56" x14ac:dyDescent="0.3">
      <c r="A82" s="5">
        <v>75593720285</v>
      </c>
      <c r="B82" s="6">
        <v>45909</v>
      </c>
      <c r="C82" s="11">
        <v>0.57277777777777783</v>
      </c>
      <c r="D82" s="5" t="s">
        <v>30</v>
      </c>
      <c r="E82" s="11">
        <v>45918</v>
      </c>
      <c r="F82" s="11">
        <v>0.40207175925925925</v>
      </c>
      <c r="G82" s="5" t="s">
        <v>18</v>
      </c>
      <c r="H82" s="5" t="s">
        <v>18</v>
      </c>
      <c r="I82" s="5" t="s">
        <v>27</v>
      </c>
      <c r="J82" s="5">
        <v>8459535801</v>
      </c>
      <c r="K82" s="5" t="s">
        <v>156</v>
      </c>
      <c r="L82" s="5" t="s">
        <v>152</v>
      </c>
      <c r="M82" s="5" t="s">
        <v>33</v>
      </c>
      <c r="N82" s="5" t="s">
        <v>94</v>
      </c>
      <c r="O82" s="5">
        <v>6</v>
      </c>
      <c r="P82" s="5" t="s">
        <v>24</v>
      </c>
      <c r="Q82" s="5" t="s">
        <v>25</v>
      </c>
      <c r="U82" s="5">
        <v>75534568604</v>
      </c>
      <c r="V82" s="11">
        <v>45889</v>
      </c>
      <c r="W82" s="11">
        <v>0.61185185185185187</v>
      </c>
      <c r="X82" s="5">
        <f t="shared" si="10"/>
        <v>8</v>
      </c>
      <c r="Y82" s="5">
        <f t="shared" si="14"/>
        <v>34</v>
      </c>
      <c r="Z82" s="5">
        <f t="shared" si="15"/>
        <v>20</v>
      </c>
      <c r="AA82" s="5">
        <f t="shared" si="16"/>
        <v>4</v>
      </c>
      <c r="AB82" s="5" t="str">
        <f t="shared" si="17"/>
        <v>14 - 15 hr</v>
      </c>
      <c r="AC82" s="5" t="s">
        <v>48</v>
      </c>
      <c r="AD82" s="11">
        <v>45901</v>
      </c>
      <c r="AE82" s="11">
        <v>0.68988425925925922</v>
      </c>
      <c r="AF82" s="5" t="s">
        <v>18</v>
      </c>
      <c r="AG82" s="5" t="s">
        <v>18</v>
      </c>
      <c r="AH82" s="5" t="s">
        <v>27</v>
      </c>
      <c r="AI82" s="5">
        <v>9000738353</v>
      </c>
      <c r="AJ82" s="5" t="s">
        <v>212</v>
      </c>
      <c r="AK82" s="5" t="s">
        <v>54</v>
      </c>
      <c r="AL82" s="5" t="s">
        <v>29</v>
      </c>
      <c r="AM82" s="5" t="s">
        <v>42</v>
      </c>
      <c r="AN82" s="5">
        <v>2</v>
      </c>
      <c r="AO82" s="5" t="s">
        <v>24</v>
      </c>
      <c r="AP82" s="5" t="s">
        <v>25</v>
      </c>
      <c r="AQ82" s="5">
        <f t="shared" si="11"/>
        <v>289.87277777778218</v>
      </c>
      <c r="AR82" s="5">
        <f t="shared" si="12"/>
        <v>12.08</v>
      </c>
      <c r="AS82" s="5" t="str">
        <f t="shared" si="13"/>
        <v>9-12 days</v>
      </c>
      <c r="AT82" s="5" t="str">
        <f t="shared" ca="1" si="18"/>
        <v>STATUS-COMPLETE</v>
      </c>
      <c r="AU82" s="5" t="str">
        <f t="shared" ca="1" si="19"/>
        <v>STATUS-COMPLETE</v>
      </c>
      <c r="AZ82" s="3" t="s">
        <v>23</v>
      </c>
      <c r="BA82" s="64">
        <v>3</v>
      </c>
      <c r="BB82" s="64">
        <v>1</v>
      </c>
      <c r="BC82" s="64">
        <v>4</v>
      </c>
      <c r="BD82" s="64">
        <v>8</v>
      </c>
    </row>
    <row r="83" spans="1:56" x14ac:dyDescent="0.3">
      <c r="A83" s="5">
        <v>75598514700</v>
      </c>
      <c r="B83" s="6">
        <v>45900</v>
      </c>
      <c r="C83" s="11">
        <v>0.62250000000000005</v>
      </c>
      <c r="D83" s="5" t="s">
        <v>78</v>
      </c>
      <c r="E83" s="11">
        <v>45911</v>
      </c>
      <c r="F83" s="11">
        <v>0.54561342592592588</v>
      </c>
      <c r="G83" s="5" t="s">
        <v>18</v>
      </c>
      <c r="H83" s="5" t="s">
        <v>18</v>
      </c>
      <c r="I83" s="5" t="s">
        <v>19</v>
      </c>
      <c r="J83" s="5">
        <v>7801367625</v>
      </c>
      <c r="K83" s="5" t="s">
        <v>376</v>
      </c>
      <c r="L83" s="5" t="s">
        <v>137</v>
      </c>
      <c r="M83" s="5" t="s">
        <v>29</v>
      </c>
      <c r="N83" s="5" t="s">
        <v>63</v>
      </c>
      <c r="O83" s="5">
        <v>4</v>
      </c>
      <c r="P83" s="5" t="s">
        <v>24</v>
      </c>
      <c r="Q83" s="5" t="s">
        <v>25</v>
      </c>
      <c r="U83" s="5">
        <v>75862760731</v>
      </c>
      <c r="V83" s="11">
        <v>45889</v>
      </c>
      <c r="W83" s="11">
        <v>0.69137731481481479</v>
      </c>
      <c r="X83" s="5">
        <f t="shared" si="10"/>
        <v>8</v>
      </c>
      <c r="Y83" s="5">
        <f t="shared" si="14"/>
        <v>34</v>
      </c>
      <c r="Z83" s="5">
        <f t="shared" si="15"/>
        <v>20</v>
      </c>
      <c r="AA83" s="5">
        <f t="shared" si="16"/>
        <v>4</v>
      </c>
      <c r="AB83" s="5" t="str">
        <f t="shared" si="17"/>
        <v>16 - 17 hr</v>
      </c>
      <c r="AC83" s="5" t="s">
        <v>46</v>
      </c>
      <c r="AD83" s="11">
        <v>45894</v>
      </c>
      <c r="AE83" s="11">
        <v>0.42228009259259258</v>
      </c>
      <c r="AF83" s="5" t="s">
        <v>18</v>
      </c>
      <c r="AG83" s="5" t="s">
        <v>18</v>
      </c>
      <c r="AH83" s="5" t="s">
        <v>49</v>
      </c>
      <c r="AI83" s="5">
        <v>8752536389</v>
      </c>
      <c r="AJ83" s="5" t="s">
        <v>288</v>
      </c>
      <c r="AK83" s="5" t="s">
        <v>265</v>
      </c>
      <c r="AL83" s="5" t="s">
        <v>82</v>
      </c>
      <c r="AM83" s="5" t="s">
        <v>52</v>
      </c>
      <c r="AN83" s="5">
        <v>4</v>
      </c>
      <c r="AO83" s="5" t="s">
        <v>24</v>
      </c>
      <c r="AP83" s="5" t="s">
        <v>25</v>
      </c>
      <c r="AQ83" s="5">
        <f t="shared" si="11"/>
        <v>113.54166666674428</v>
      </c>
      <c r="AR83" s="5">
        <f t="shared" si="12"/>
        <v>4.7300000000000004</v>
      </c>
      <c r="AS83" s="5" t="str">
        <f t="shared" si="13"/>
        <v>5-8 days</v>
      </c>
      <c r="AT83" s="5" t="str">
        <f t="shared" ca="1" si="18"/>
        <v>STATUS-COMPLETE</v>
      </c>
      <c r="AU83" s="5" t="str">
        <f t="shared" ca="1" si="19"/>
        <v>STATUS-COMPLETE</v>
      </c>
      <c r="AZ83" s="3" t="s">
        <v>392</v>
      </c>
      <c r="BA83" s="64">
        <v>39</v>
      </c>
      <c r="BB83" s="64">
        <v>58</v>
      </c>
      <c r="BC83" s="64">
        <v>61</v>
      </c>
      <c r="BD83" s="64">
        <v>158</v>
      </c>
    </row>
    <row r="84" spans="1:56" x14ac:dyDescent="0.3">
      <c r="A84" s="5">
        <v>75601794412</v>
      </c>
      <c r="B84" s="6">
        <v>45917</v>
      </c>
      <c r="C84" s="11">
        <v>0.67636574074074074</v>
      </c>
      <c r="D84" s="5" t="s">
        <v>55</v>
      </c>
      <c r="E84" s="11">
        <v>45923</v>
      </c>
      <c r="F84" s="11">
        <v>0.57391203703703708</v>
      </c>
      <c r="G84" s="5" t="s">
        <v>18</v>
      </c>
      <c r="H84" s="5" t="s">
        <v>18</v>
      </c>
      <c r="I84" s="5" t="s">
        <v>27</v>
      </c>
      <c r="J84" s="5">
        <v>9080741273</v>
      </c>
      <c r="K84" s="5" t="s">
        <v>384</v>
      </c>
      <c r="L84" s="5" t="s">
        <v>220</v>
      </c>
      <c r="M84" s="5" t="s">
        <v>22</v>
      </c>
      <c r="N84" s="5" t="s">
        <v>203</v>
      </c>
      <c r="O84" s="5">
        <v>3</v>
      </c>
      <c r="P84" s="5" t="s">
        <v>24</v>
      </c>
      <c r="Q84" s="5" t="s">
        <v>25</v>
      </c>
      <c r="U84" s="5">
        <v>75479419456</v>
      </c>
      <c r="V84" s="11">
        <v>45889</v>
      </c>
      <c r="W84" s="11">
        <v>0.69340277777777781</v>
      </c>
      <c r="X84" s="5">
        <f t="shared" si="10"/>
        <v>8</v>
      </c>
      <c r="Y84" s="5">
        <f t="shared" si="14"/>
        <v>34</v>
      </c>
      <c r="Z84" s="5">
        <f t="shared" si="15"/>
        <v>20</v>
      </c>
      <c r="AA84" s="5">
        <f t="shared" si="16"/>
        <v>4</v>
      </c>
      <c r="AB84" s="5" t="str">
        <f t="shared" si="17"/>
        <v>16 - 17 hr</v>
      </c>
      <c r="AC84" s="5" t="s">
        <v>58</v>
      </c>
      <c r="AD84" s="11">
        <v>45900</v>
      </c>
      <c r="AE84" s="11">
        <v>0.48989583333333331</v>
      </c>
      <c r="AF84" s="5" t="s">
        <v>18</v>
      </c>
      <c r="AG84" s="5" t="s">
        <v>18</v>
      </c>
      <c r="AH84" s="5" t="s">
        <v>27</v>
      </c>
      <c r="AI84" s="5">
        <v>8721444792</v>
      </c>
      <c r="AJ84" s="5" t="s">
        <v>295</v>
      </c>
      <c r="AK84" s="5" t="s">
        <v>167</v>
      </c>
      <c r="AL84" s="5" t="s">
        <v>29</v>
      </c>
      <c r="AM84" s="5" t="s">
        <v>142</v>
      </c>
      <c r="AN84" s="5">
        <v>7</v>
      </c>
      <c r="AO84" s="5" t="s">
        <v>24</v>
      </c>
      <c r="AP84" s="5" t="s">
        <v>25</v>
      </c>
      <c r="AQ84" s="5">
        <f t="shared" si="11"/>
        <v>259.11583333346061</v>
      </c>
      <c r="AR84" s="5">
        <f t="shared" si="12"/>
        <v>10.8</v>
      </c>
      <c r="AS84" s="5" t="str">
        <f t="shared" si="13"/>
        <v>9-12 days</v>
      </c>
      <c r="AT84" s="5" t="str">
        <f t="shared" ca="1" si="18"/>
        <v>STATUS-COMPLETE</v>
      </c>
      <c r="AU84" s="5" t="str">
        <f t="shared" ca="1" si="19"/>
        <v>STATUS-COMPLETE</v>
      </c>
    </row>
    <row r="85" spans="1:56" x14ac:dyDescent="0.3">
      <c r="A85" s="5">
        <v>75602563940</v>
      </c>
      <c r="B85" s="6">
        <v>45900</v>
      </c>
      <c r="C85" s="11">
        <v>0.84416666666666662</v>
      </c>
      <c r="D85" s="5" t="s">
        <v>55</v>
      </c>
      <c r="E85" s="11">
        <v>45909</v>
      </c>
      <c r="F85" s="11">
        <v>0.7253356481481481</v>
      </c>
      <c r="G85" s="5" t="s">
        <v>18</v>
      </c>
      <c r="H85" s="5" t="s">
        <v>18</v>
      </c>
      <c r="I85" s="5" t="s">
        <v>27</v>
      </c>
      <c r="J85" s="5">
        <v>8003143045</v>
      </c>
      <c r="K85" s="5" t="s">
        <v>114</v>
      </c>
      <c r="L85" s="5" t="s">
        <v>115</v>
      </c>
      <c r="M85" s="5" t="s">
        <v>33</v>
      </c>
      <c r="N85" s="5" t="s">
        <v>116</v>
      </c>
      <c r="O85" s="5">
        <v>5</v>
      </c>
      <c r="P85" s="5" t="s">
        <v>24</v>
      </c>
      <c r="Q85" s="5" t="s">
        <v>25</v>
      </c>
      <c r="U85" s="5">
        <v>75401166414</v>
      </c>
      <c r="V85" s="11">
        <v>45889</v>
      </c>
      <c r="W85" s="11">
        <v>0.52087962962962964</v>
      </c>
      <c r="X85" s="5">
        <f t="shared" si="10"/>
        <v>8</v>
      </c>
      <c r="Y85" s="5">
        <f t="shared" si="14"/>
        <v>34</v>
      </c>
      <c r="Z85" s="5">
        <f t="shared" si="15"/>
        <v>20</v>
      </c>
      <c r="AA85" s="5">
        <f t="shared" si="16"/>
        <v>4</v>
      </c>
      <c r="AB85" s="5" t="str">
        <f t="shared" si="17"/>
        <v>12 - 13 hr</v>
      </c>
      <c r="AC85" s="5" t="s">
        <v>95</v>
      </c>
      <c r="AD85" s="11">
        <v>45893</v>
      </c>
      <c r="AE85" s="11">
        <v>0.65353009259259254</v>
      </c>
      <c r="AF85" s="5" t="s">
        <v>18</v>
      </c>
      <c r="AG85" s="5" t="s">
        <v>18</v>
      </c>
      <c r="AH85" s="5" t="s">
        <v>49</v>
      </c>
      <c r="AI85" s="5">
        <v>9549834042</v>
      </c>
      <c r="AJ85" s="5" t="s">
        <v>325</v>
      </c>
      <c r="AK85" s="5" t="s">
        <v>187</v>
      </c>
      <c r="AL85" s="5" t="s">
        <v>22</v>
      </c>
      <c r="AM85" s="5" t="s">
        <v>52</v>
      </c>
      <c r="AN85" s="5">
        <v>7</v>
      </c>
      <c r="AO85" s="5" t="s">
        <v>24</v>
      </c>
      <c r="AP85" s="5" t="s">
        <v>25</v>
      </c>
      <c r="AQ85" s="5">
        <f t="shared" si="11"/>
        <v>99.183611111075152</v>
      </c>
      <c r="AR85" s="5">
        <f t="shared" si="12"/>
        <v>4.13</v>
      </c>
      <c r="AS85" s="5" t="str">
        <f t="shared" si="13"/>
        <v>5-8 days</v>
      </c>
      <c r="AT85" s="5" t="str">
        <f t="shared" ca="1" si="18"/>
        <v>STATUS-COMPLETE</v>
      </c>
      <c r="AU85" s="5" t="str">
        <f t="shared" ca="1" si="19"/>
        <v>STATUS-COMPLETE</v>
      </c>
    </row>
    <row r="86" spans="1:56" x14ac:dyDescent="0.3">
      <c r="A86" s="5">
        <v>75606938058</v>
      </c>
      <c r="B86" s="6">
        <v>45881</v>
      </c>
      <c r="C86" s="11">
        <v>0.46003472222222225</v>
      </c>
      <c r="D86" s="5"/>
      <c r="E86" s="11"/>
      <c r="F86" s="11"/>
      <c r="G86" s="5" t="s">
        <v>18</v>
      </c>
      <c r="H86" s="5" t="s">
        <v>18</v>
      </c>
      <c r="I86" s="5" t="s">
        <v>49</v>
      </c>
      <c r="J86" s="5">
        <v>9934001543</v>
      </c>
      <c r="K86" s="5" t="s">
        <v>379</v>
      </c>
      <c r="L86" s="5" t="s">
        <v>218</v>
      </c>
      <c r="M86" s="5" t="s">
        <v>82</v>
      </c>
      <c r="N86" s="5" t="s">
        <v>66</v>
      </c>
      <c r="O86" s="5">
        <v>5</v>
      </c>
      <c r="P86" s="5" t="s">
        <v>34</v>
      </c>
      <c r="Q86" s="5" t="s">
        <v>67</v>
      </c>
      <c r="U86" s="5">
        <v>75652082631</v>
      </c>
      <c r="V86" s="11">
        <v>45890</v>
      </c>
      <c r="W86" s="11">
        <v>0.82219907407407411</v>
      </c>
      <c r="X86" s="5">
        <f t="shared" si="10"/>
        <v>8</v>
      </c>
      <c r="Y86" s="5">
        <f t="shared" si="14"/>
        <v>34</v>
      </c>
      <c r="Z86" s="5">
        <f t="shared" si="15"/>
        <v>21</v>
      </c>
      <c r="AA86" s="5">
        <f t="shared" si="16"/>
        <v>5</v>
      </c>
      <c r="AB86" s="5" t="str">
        <f t="shared" si="17"/>
        <v>19 - 20 hr</v>
      </c>
      <c r="AC86" s="5" t="s">
        <v>30</v>
      </c>
      <c r="AD86" s="11">
        <v>45898</v>
      </c>
      <c r="AE86" s="11">
        <v>0.7101736111111111</v>
      </c>
      <c r="AF86" s="5" t="s">
        <v>18</v>
      </c>
      <c r="AG86" s="5" t="s">
        <v>18</v>
      </c>
      <c r="AH86" s="5" t="s">
        <v>27</v>
      </c>
      <c r="AI86" s="5">
        <v>7977046129</v>
      </c>
      <c r="AJ86" s="5" t="s">
        <v>120</v>
      </c>
      <c r="AK86" s="5" t="s">
        <v>121</v>
      </c>
      <c r="AL86" s="5" t="s">
        <v>22</v>
      </c>
      <c r="AM86" s="5" t="s">
        <v>76</v>
      </c>
      <c r="AN86" s="5">
        <v>3</v>
      </c>
      <c r="AO86" s="5" t="s">
        <v>24</v>
      </c>
      <c r="AP86" s="5" t="s">
        <v>25</v>
      </c>
      <c r="AQ86" s="5">
        <f t="shared" si="11"/>
        <v>189.31138888903661</v>
      </c>
      <c r="AR86" s="5">
        <f t="shared" si="12"/>
        <v>7.89</v>
      </c>
      <c r="AS86" s="5" t="str">
        <f t="shared" si="13"/>
        <v>5-8 days</v>
      </c>
      <c r="AT86" s="5" t="str">
        <f t="shared" ca="1" si="18"/>
        <v>STATUS-COMPLETE</v>
      </c>
      <c r="AU86" s="5" t="str">
        <f t="shared" ca="1" si="19"/>
        <v>STATUS-COMPLETE</v>
      </c>
      <c r="AZ86" s="2" t="s">
        <v>394</v>
      </c>
      <c r="BA86" s="2" t="s">
        <v>393</v>
      </c>
    </row>
    <row r="87" spans="1:56" x14ac:dyDescent="0.3">
      <c r="A87" s="5">
        <v>75606978174</v>
      </c>
      <c r="B87" s="6">
        <v>45874</v>
      </c>
      <c r="C87" s="11">
        <v>0.53684027777777776</v>
      </c>
      <c r="D87" s="5" t="s">
        <v>26</v>
      </c>
      <c r="E87" s="11">
        <v>45883</v>
      </c>
      <c r="F87" s="11">
        <v>0.63112268518518522</v>
      </c>
      <c r="G87" s="5" t="s">
        <v>18</v>
      </c>
      <c r="H87" s="5" t="s">
        <v>18</v>
      </c>
      <c r="I87" s="5" t="s">
        <v>49</v>
      </c>
      <c r="J87" s="5">
        <v>7142039044</v>
      </c>
      <c r="K87" s="5" t="s">
        <v>385</v>
      </c>
      <c r="L87" s="5" t="s">
        <v>41</v>
      </c>
      <c r="M87" s="5" t="s">
        <v>22</v>
      </c>
      <c r="N87" s="5" t="s">
        <v>42</v>
      </c>
      <c r="O87" s="5">
        <v>6</v>
      </c>
      <c r="P87" s="5" t="s">
        <v>24</v>
      </c>
      <c r="Q87" s="5" t="s">
        <v>25</v>
      </c>
      <c r="U87" s="5">
        <v>75454337019</v>
      </c>
      <c r="V87" s="11">
        <v>45890</v>
      </c>
      <c r="W87" s="11">
        <v>0.55896990740740737</v>
      </c>
      <c r="X87" s="5">
        <f t="shared" si="10"/>
        <v>8</v>
      </c>
      <c r="Y87" s="5">
        <f t="shared" si="14"/>
        <v>34</v>
      </c>
      <c r="Z87" s="5">
        <f t="shared" si="15"/>
        <v>21</v>
      </c>
      <c r="AA87" s="5">
        <f t="shared" si="16"/>
        <v>5</v>
      </c>
      <c r="AB87" s="5" t="str">
        <f t="shared" si="17"/>
        <v>13 - 14 hr</v>
      </c>
      <c r="AC87" s="5" t="s">
        <v>58</v>
      </c>
      <c r="AD87" s="11">
        <v>45892</v>
      </c>
      <c r="AE87" s="11">
        <v>0.56128472222222225</v>
      </c>
      <c r="AF87" s="5" t="s">
        <v>18</v>
      </c>
      <c r="AG87" s="5" t="s">
        <v>18</v>
      </c>
      <c r="AH87" s="5" t="s">
        <v>27</v>
      </c>
      <c r="AI87" s="5">
        <v>8795875043</v>
      </c>
      <c r="AJ87" s="5" t="s">
        <v>222</v>
      </c>
      <c r="AK87" s="5" t="s">
        <v>41</v>
      </c>
      <c r="AL87" s="5" t="s">
        <v>82</v>
      </c>
      <c r="AM87" s="5" t="s">
        <v>42</v>
      </c>
      <c r="AN87" s="5">
        <v>5</v>
      </c>
      <c r="AO87" s="5" t="s">
        <v>24</v>
      </c>
      <c r="AP87" s="5" t="s">
        <v>25</v>
      </c>
      <c r="AQ87" s="5">
        <f t="shared" si="11"/>
        <v>48.055555555620231</v>
      </c>
      <c r="AR87" s="5">
        <f t="shared" si="12"/>
        <v>2</v>
      </c>
      <c r="AS87" s="5" t="str">
        <f t="shared" si="13"/>
        <v>1-4 days</v>
      </c>
      <c r="AT87" s="5" t="str">
        <f t="shared" ca="1" si="18"/>
        <v>STATUS-COMPLETE</v>
      </c>
      <c r="AU87" s="5" t="str">
        <f t="shared" ca="1" si="19"/>
        <v>STATUS-COMPLETE</v>
      </c>
      <c r="AZ87" s="2" t="s">
        <v>391</v>
      </c>
      <c r="BA87" t="s">
        <v>663</v>
      </c>
      <c r="BB87" t="s">
        <v>664</v>
      </c>
      <c r="BC87" t="s">
        <v>392</v>
      </c>
    </row>
    <row r="88" spans="1:56" x14ac:dyDescent="0.3">
      <c r="A88" s="5">
        <v>75611606895</v>
      </c>
      <c r="B88" s="6">
        <v>45921</v>
      </c>
      <c r="C88" s="11">
        <v>0.67171296296296301</v>
      </c>
      <c r="D88" s="5" t="s">
        <v>48</v>
      </c>
      <c r="E88" s="11"/>
      <c r="F88" s="11"/>
      <c r="G88" s="5" t="s">
        <v>18</v>
      </c>
      <c r="H88" s="5" t="s">
        <v>18</v>
      </c>
      <c r="I88" s="5" t="s">
        <v>19</v>
      </c>
      <c r="J88" s="5">
        <v>9266518721</v>
      </c>
      <c r="K88" s="5" t="s">
        <v>305</v>
      </c>
      <c r="L88" s="5" t="s">
        <v>306</v>
      </c>
      <c r="M88" s="5" t="s">
        <v>33</v>
      </c>
      <c r="N88" s="5" t="s">
        <v>94</v>
      </c>
      <c r="O88" s="5">
        <v>5</v>
      </c>
      <c r="P88" s="5" t="s">
        <v>34</v>
      </c>
      <c r="Q88" s="5" t="s">
        <v>67</v>
      </c>
      <c r="U88" s="5">
        <v>75934047267</v>
      </c>
      <c r="V88" s="11">
        <v>45890</v>
      </c>
      <c r="W88" s="11">
        <v>0.37876157407407407</v>
      </c>
      <c r="X88" s="5">
        <f t="shared" si="10"/>
        <v>8</v>
      </c>
      <c r="Y88" s="5">
        <f t="shared" si="14"/>
        <v>34</v>
      </c>
      <c r="Z88" s="5">
        <f t="shared" si="15"/>
        <v>21</v>
      </c>
      <c r="AA88" s="5">
        <f t="shared" si="16"/>
        <v>5</v>
      </c>
      <c r="AB88" s="5" t="str">
        <f t="shared" si="17"/>
        <v>9 - 10 hr</v>
      </c>
      <c r="AC88" s="5" t="s">
        <v>46</v>
      </c>
      <c r="AD88" s="11">
        <v>45893</v>
      </c>
      <c r="AE88" s="11">
        <v>0.68922453703703701</v>
      </c>
      <c r="AF88" s="5" t="s">
        <v>18</v>
      </c>
      <c r="AG88" s="5" t="s">
        <v>18</v>
      </c>
      <c r="AH88" s="5" t="s">
        <v>19</v>
      </c>
      <c r="AI88" s="5">
        <v>8963790638</v>
      </c>
      <c r="AJ88" s="5" t="s">
        <v>223</v>
      </c>
      <c r="AK88" s="5" t="s">
        <v>224</v>
      </c>
      <c r="AL88" s="5" t="s">
        <v>29</v>
      </c>
      <c r="AM88" s="5" t="s">
        <v>94</v>
      </c>
      <c r="AN88" s="5">
        <v>2</v>
      </c>
      <c r="AO88" s="5" t="s">
        <v>24</v>
      </c>
      <c r="AP88" s="5" t="s">
        <v>25</v>
      </c>
      <c r="AQ88" s="5">
        <f t="shared" si="11"/>
        <v>79.451111111207865</v>
      </c>
      <c r="AR88" s="5">
        <f t="shared" si="12"/>
        <v>3.31</v>
      </c>
      <c r="AS88" s="5" t="str">
        <f t="shared" si="13"/>
        <v>1-4 days</v>
      </c>
      <c r="AT88" s="5" t="str">
        <f t="shared" ca="1" si="18"/>
        <v>STATUS-COMPLETE</v>
      </c>
      <c r="AU88" s="5" t="str">
        <f t="shared" ca="1" si="19"/>
        <v>STATUS-COMPLETE</v>
      </c>
      <c r="AZ88" s="3" t="s">
        <v>23</v>
      </c>
      <c r="BA88" s="64">
        <v>6</v>
      </c>
      <c r="BB88" s="64">
        <v>3</v>
      </c>
      <c r="BC88" s="64">
        <v>9</v>
      </c>
    </row>
    <row r="89" spans="1:56" x14ac:dyDescent="0.3">
      <c r="A89" s="5">
        <v>75612954978</v>
      </c>
      <c r="B89" s="6">
        <v>45871</v>
      </c>
      <c r="C89" s="11">
        <v>0.44287037037037036</v>
      </c>
      <c r="D89" s="5" t="s">
        <v>26</v>
      </c>
      <c r="E89" s="11"/>
      <c r="F89" s="11"/>
      <c r="G89" s="5" t="s">
        <v>18</v>
      </c>
      <c r="H89" s="5" t="s">
        <v>18</v>
      </c>
      <c r="I89" s="5" t="s">
        <v>36</v>
      </c>
      <c r="J89" s="5">
        <v>7437662764</v>
      </c>
      <c r="K89" s="5" t="s">
        <v>73</v>
      </c>
      <c r="L89" s="5" t="s">
        <v>54</v>
      </c>
      <c r="M89" s="5" t="s">
        <v>29</v>
      </c>
      <c r="N89" s="5" t="s">
        <v>42</v>
      </c>
      <c r="O89" s="5">
        <v>8</v>
      </c>
      <c r="P89" s="5" t="s">
        <v>34</v>
      </c>
      <c r="Q89" s="5" t="s">
        <v>35</v>
      </c>
      <c r="U89" s="5">
        <v>75687057426</v>
      </c>
      <c r="V89" s="11">
        <v>45890</v>
      </c>
      <c r="W89" s="11">
        <v>0.7484143518518519</v>
      </c>
      <c r="X89" s="5">
        <f t="shared" si="10"/>
        <v>8</v>
      </c>
      <c r="Y89" s="5">
        <f t="shared" si="14"/>
        <v>34</v>
      </c>
      <c r="Z89" s="5">
        <f t="shared" si="15"/>
        <v>21</v>
      </c>
      <c r="AA89" s="5">
        <f t="shared" si="16"/>
        <v>5</v>
      </c>
      <c r="AB89" s="5" t="str">
        <f t="shared" si="17"/>
        <v>17 - 18 hr</v>
      </c>
      <c r="AC89" s="5" t="str">
        <f>"Unknown_Handler"</f>
        <v>Unknown_Handler</v>
      </c>
      <c r="AD89" s="11"/>
      <c r="AE89" s="11"/>
      <c r="AF89" s="5" t="s">
        <v>18</v>
      </c>
      <c r="AG89" s="5" t="s">
        <v>18</v>
      </c>
      <c r="AH89" s="5" t="s">
        <v>49</v>
      </c>
      <c r="AI89" s="5">
        <v>7582349911</v>
      </c>
      <c r="AJ89" s="5" t="s">
        <v>316</v>
      </c>
      <c r="AK89" s="5" t="s">
        <v>251</v>
      </c>
      <c r="AL89" s="5" t="s">
        <v>33</v>
      </c>
      <c r="AM89" s="5" t="s">
        <v>52</v>
      </c>
      <c r="AN89" s="5">
        <v>3</v>
      </c>
      <c r="AO89" s="5" t="s">
        <v>34</v>
      </c>
      <c r="AP89" s="5" t="s">
        <v>60</v>
      </c>
      <c r="AQ89" s="5" t="str">
        <f t="shared" si="11"/>
        <v>Issue_pending</v>
      </c>
      <c r="AR89" s="5" t="str">
        <f t="shared" si="12"/>
        <v>Issue_pending</v>
      </c>
      <c r="AS89" s="5" t="str">
        <f t="shared" si="13"/>
        <v>Issue_pending</v>
      </c>
      <c r="AT89" s="5">
        <f t="shared" ca="1" si="18"/>
        <v>40</v>
      </c>
      <c r="AU89" s="5" t="str">
        <f t="shared" ca="1" si="19"/>
        <v>&gt;20 days</v>
      </c>
      <c r="AZ89" s="3" t="s">
        <v>52</v>
      </c>
      <c r="BA89" s="64">
        <v>5</v>
      </c>
      <c r="BB89" s="64">
        <v>2</v>
      </c>
      <c r="BC89" s="64">
        <v>7</v>
      </c>
    </row>
    <row r="90" spans="1:56" x14ac:dyDescent="0.3">
      <c r="A90" s="5">
        <v>75614179101</v>
      </c>
      <c r="B90" s="6">
        <v>45874</v>
      </c>
      <c r="C90" s="11">
        <v>0.38957175925925924</v>
      </c>
      <c r="D90" s="5" t="s">
        <v>30</v>
      </c>
      <c r="E90" s="11">
        <v>45882</v>
      </c>
      <c r="F90" s="11">
        <v>0.38763888888888887</v>
      </c>
      <c r="G90" s="5" t="s">
        <v>18</v>
      </c>
      <c r="H90" s="5" t="s">
        <v>18</v>
      </c>
      <c r="I90" s="5" t="s">
        <v>36</v>
      </c>
      <c r="J90" s="5">
        <v>9213555655</v>
      </c>
      <c r="K90" s="5" t="s">
        <v>196</v>
      </c>
      <c r="L90" s="5" t="s">
        <v>197</v>
      </c>
      <c r="M90" s="5" t="s">
        <v>22</v>
      </c>
      <c r="N90" s="5" t="s">
        <v>39</v>
      </c>
      <c r="O90" s="5">
        <v>4</v>
      </c>
      <c r="P90" s="5" t="s">
        <v>24</v>
      </c>
      <c r="Q90" s="5" t="s">
        <v>25</v>
      </c>
      <c r="U90" s="5">
        <v>75741511874</v>
      </c>
      <c r="V90" s="11">
        <v>45890</v>
      </c>
      <c r="W90" s="11">
        <v>0.67863425925925924</v>
      </c>
      <c r="X90" s="5">
        <f t="shared" si="10"/>
        <v>8</v>
      </c>
      <c r="Y90" s="5">
        <f t="shared" si="14"/>
        <v>34</v>
      </c>
      <c r="Z90" s="5">
        <f t="shared" si="15"/>
        <v>21</v>
      </c>
      <c r="AA90" s="5">
        <f t="shared" si="16"/>
        <v>5</v>
      </c>
      <c r="AB90" s="5" t="str">
        <f t="shared" si="17"/>
        <v>16 - 17 hr</v>
      </c>
      <c r="AC90" s="5" t="s">
        <v>17</v>
      </c>
      <c r="AD90" s="11"/>
      <c r="AE90" s="11"/>
      <c r="AF90" s="5" t="s">
        <v>18</v>
      </c>
      <c r="AG90" s="5" t="s">
        <v>18</v>
      </c>
      <c r="AH90" s="5" t="s">
        <v>27</v>
      </c>
      <c r="AI90" s="5">
        <v>7870644102</v>
      </c>
      <c r="AJ90" s="5" t="s">
        <v>349</v>
      </c>
      <c r="AK90" s="5" t="s">
        <v>220</v>
      </c>
      <c r="AL90" s="5" t="s">
        <v>33</v>
      </c>
      <c r="AM90" s="5" t="s">
        <v>203</v>
      </c>
      <c r="AN90" s="5">
        <v>6</v>
      </c>
      <c r="AO90" s="5" t="s">
        <v>34</v>
      </c>
      <c r="AP90" s="5" t="s">
        <v>60</v>
      </c>
      <c r="AQ90" s="5" t="str">
        <f t="shared" si="11"/>
        <v>Issue_pending</v>
      </c>
      <c r="AR90" s="5" t="str">
        <f t="shared" si="12"/>
        <v>Issue_pending</v>
      </c>
      <c r="AS90" s="5" t="str">
        <f t="shared" si="13"/>
        <v>Issue_pending</v>
      </c>
      <c r="AT90" s="5">
        <f t="shared" ca="1" si="18"/>
        <v>40</v>
      </c>
      <c r="AU90" s="5" t="str">
        <f t="shared" ca="1" si="19"/>
        <v>&gt;20 days</v>
      </c>
      <c r="AZ90" s="3" t="s">
        <v>66</v>
      </c>
      <c r="BA90" s="64">
        <v>5</v>
      </c>
      <c r="BB90" s="64"/>
      <c r="BC90" s="64">
        <v>5</v>
      </c>
    </row>
    <row r="91" spans="1:56" x14ac:dyDescent="0.3">
      <c r="A91" s="5">
        <v>75627473778</v>
      </c>
      <c r="B91" s="6">
        <v>45914</v>
      </c>
      <c r="C91" s="11">
        <v>0.6787037037037037</v>
      </c>
      <c r="D91" s="5" t="s">
        <v>30</v>
      </c>
      <c r="E91" s="11">
        <v>45916</v>
      </c>
      <c r="F91" s="11">
        <v>0.72584490740740737</v>
      </c>
      <c r="G91" s="5" t="s">
        <v>18</v>
      </c>
      <c r="H91" s="5" t="s">
        <v>18</v>
      </c>
      <c r="I91" s="5" t="s">
        <v>27</v>
      </c>
      <c r="J91" s="5">
        <v>8450647350</v>
      </c>
      <c r="K91" s="5" t="s">
        <v>320</v>
      </c>
      <c r="L91" s="5" t="s">
        <v>119</v>
      </c>
      <c r="M91" s="5" t="s">
        <v>29</v>
      </c>
      <c r="N91" s="5" t="s">
        <v>116</v>
      </c>
      <c r="O91" s="5">
        <v>6</v>
      </c>
      <c r="P91" s="5" t="s">
        <v>24</v>
      </c>
      <c r="Q91" s="5" t="s">
        <v>25</v>
      </c>
      <c r="U91" s="5">
        <v>75997391512</v>
      </c>
      <c r="V91" s="11">
        <v>45890</v>
      </c>
      <c r="W91" s="11">
        <v>0.64953703703703702</v>
      </c>
      <c r="X91" s="5">
        <f t="shared" si="10"/>
        <v>8</v>
      </c>
      <c r="Y91" s="5">
        <f t="shared" si="14"/>
        <v>34</v>
      </c>
      <c r="Z91" s="5">
        <f t="shared" si="15"/>
        <v>21</v>
      </c>
      <c r="AA91" s="5">
        <f t="shared" si="16"/>
        <v>5</v>
      </c>
      <c r="AB91" s="5" t="str">
        <f t="shared" si="17"/>
        <v>15 - 16 hr</v>
      </c>
      <c r="AC91" s="5" t="s">
        <v>30</v>
      </c>
      <c r="AD91" s="11"/>
      <c r="AE91" s="11"/>
      <c r="AF91" s="5" t="s">
        <v>18</v>
      </c>
      <c r="AG91" s="5" t="s">
        <v>18</v>
      </c>
      <c r="AH91" s="5" t="s">
        <v>36</v>
      </c>
      <c r="AI91" s="5">
        <v>9232043732</v>
      </c>
      <c r="AJ91" s="5" t="s">
        <v>380</v>
      </c>
      <c r="AK91" s="5" t="s">
        <v>113</v>
      </c>
      <c r="AL91" s="5" t="s">
        <v>22</v>
      </c>
      <c r="AM91" s="5" t="s">
        <v>23</v>
      </c>
      <c r="AN91" s="5">
        <v>4</v>
      </c>
      <c r="AO91" s="5" t="s">
        <v>34</v>
      </c>
      <c r="AP91" s="5" t="s">
        <v>67</v>
      </c>
      <c r="AQ91" s="5" t="str">
        <f t="shared" si="11"/>
        <v>Issue_pending</v>
      </c>
      <c r="AR91" s="5" t="str">
        <f t="shared" si="12"/>
        <v>Issue_pending</v>
      </c>
      <c r="AS91" s="5" t="str">
        <f t="shared" si="13"/>
        <v>Issue_pending</v>
      </c>
      <c r="AT91" s="5">
        <f t="shared" ca="1" si="18"/>
        <v>40</v>
      </c>
      <c r="AU91" s="5" t="str">
        <f t="shared" ca="1" si="19"/>
        <v>&gt;20 days</v>
      </c>
      <c r="AZ91" s="3" t="s">
        <v>72</v>
      </c>
      <c r="BA91" s="64">
        <v>3</v>
      </c>
      <c r="BB91" s="64">
        <v>2</v>
      </c>
      <c r="BC91" s="64">
        <v>5</v>
      </c>
    </row>
    <row r="92" spans="1:56" x14ac:dyDescent="0.3">
      <c r="A92" s="5">
        <v>75631875999</v>
      </c>
      <c r="B92" s="6">
        <v>45920</v>
      </c>
      <c r="C92" s="11">
        <v>0.51515046296296296</v>
      </c>
      <c r="D92" s="5" t="s">
        <v>95</v>
      </c>
      <c r="E92" s="11">
        <v>45923</v>
      </c>
      <c r="F92" s="11">
        <v>0.75907407407407412</v>
      </c>
      <c r="G92" s="5" t="s">
        <v>18</v>
      </c>
      <c r="H92" s="5" t="s">
        <v>18</v>
      </c>
      <c r="I92" s="5" t="s">
        <v>27</v>
      </c>
      <c r="J92" s="5">
        <v>9559721644</v>
      </c>
      <c r="K92" s="5" t="s">
        <v>140</v>
      </c>
      <c r="L92" s="5" t="s">
        <v>141</v>
      </c>
      <c r="M92" s="5" t="s">
        <v>82</v>
      </c>
      <c r="N92" s="5" t="s">
        <v>142</v>
      </c>
      <c r="O92" s="5">
        <v>3</v>
      </c>
      <c r="P92" s="5" t="s">
        <v>24</v>
      </c>
      <c r="Q92" s="5" t="s">
        <v>25</v>
      </c>
      <c r="U92" s="5">
        <v>75491926217</v>
      </c>
      <c r="V92" s="11">
        <v>45891</v>
      </c>
      <c r="W92" s="11">
        <v>0.53224537037037034</v>
      </c>
      <c r="X92" s="5">
        <f t="shared" si="10"/>
        <v>8</v>
      </c>
      <c r="Y92" s="5">
        <f t="shared" si="14"/>
        <v>34</v>
      </c>
      <c r="Z92" s="5">
        <f t="shared" si="15"/>
        <v>22</v>
      </c>
      <c r="AA92" s="5">
        <f t="shared" si="16"/>
        <v>6</v>
      </c>
      <c r="AB92" s="5" t="str">
        <f t="shared" si="17"/>
        <v>12 - 13 hr</v>
      </c>
      <c r="AC92" s="5" t="s">
        <v>48</v>
      </c>
      <c r="AD92" s="11">
        <v>45901</v>
      </c>
      <c r="AE92" s="11">
        <v>0.56597222222222221</v>
      </c>
      <c r="AF92" s="5" t="s">
        <v>18</v>
      </c>
      <c r="AG92" s="5" t="s">
        <v>18</v>
      </c>
      <c r="AH92" s="5" t="s">
        <v>19</v>
      </c>
      <c r="AI92" s="5">
        <v>9384463652</v>
      </c>
      <c r="AJ92" s="5" t="s">
        <v>81</v>
      </c>
      <c r="AK92" s="5" t="s">
        <v>62</v>
      </c>
      <c r="AL92" s="5" t="s">
        <v>82</v>
      </c>
      <c r="AM92" s="5" t="s">
        <v>63</v>
      </c>
      <c r="AN92" s="5">
        <v>5</v>
      </c>
      <c r="AO92" s="5" t="s">
        <v>24</v>
      </c>
      <c r="AP92" s="5" t="s">
        <v>25</v>
      </c>
      <c r="AQ92" s="5">
        <f t="shared" si="11"/>
        <v>240.80944444437046</v>
      </c>
      <c r="AR92" s="5">
        <f t="shared" si="12"/>
        <v>10.029999999999999</v>
      </c>
      <c r="AS92" s="5" t="str">
        <f t="shared" si="13"/>
        <v>9-12 days</v>
      </c>
      <c r="AT92" s="5" t="str">
        <f t="shared" ca="1" si="18"/>
        <v>STATUS-COMPLETE</v>
      </c>
      <c r="AU92" s="5" t="str">
        <f t="shared" ca="1" si="19"/>
        <v>STATUS-COMPLETE</v>
      </c>
      <c r="AZ92" s="3" t="s">
        <v>102</v>
      </c>
      <c r="BA92" s="64">
        <v>3</v>
      </c>
      <c r="BB92" s="64">
        <v>2</v>
      </c>
      <c r="BC92" s="64">
        <v>5</v>
      </c>
    </row>
    <row r="93" spans="1:56" x14ac:dyDescent="0.3">
      <c r="A93" s="5">
        <v>75633969748</v>
      </c>
      <c r="B93" s="6">
        <v>45921</v>
      </c>
      <c r="C93" s="11">
        <v>0.75280092592592596</v>
      </c>
      <c r="D93" s="5" t="s">
        <v>55</v>
      </c>
      <c r="E93" s="11">
        <v>45922</v>
      </c>
      <c r="F93" s="11">
        <v>0.63671296296296298</v>
      </c>
      <c r="G93" s="5" t="s">
        <v>18</v>
      </c>
      <c r="H93" s="5" t="s">
        <v>18</v>
      </c>
      <c r="I93" s="5" t="s">
        <v>49</v>
      </c>
      <c r="J93" s="5">
        <v>8479740208</v>
      </c>
      <c r="K93" s="5" t="s">
        <v>256</v>
      </c>
      <c r="L93" s="5" t="s">
        <v>65</v>
      </c>
      <c r="M93" s="5" t="s">
        <v>22</v>
      </c>
      <c r="N93" s="5" t="s">
        <v>66</v>
      </c>
      <c r="O93" s="5">
        <v>4</v>
      </c>
      <c r="P93" s="5" t="s">
        <v>24</v>
      </c>
      <c r="Q93" s="5" t="s">
        <v>25</v>
      </c>
      <c r="U93" s="5">
        <v>75529553265</v>
      </c>
      <c r="V93" s="11">
        <v>45891</v>
      </c>
      <c r="W93" s="11">
        <v>0.84189814814814812</v>
      </c>
      <c r="X93" s="5">
        <f t="shared" si="10"/>
        <v>8</v>
      </c>
      <c r="Y93" s="5">
        <f t="shared" si="14"/>
        <v>34</v>
      </c>
      <c r="Z93" s="5">
        <f t="shared" si="15"/>
        <v>22</v>
      </c>
      <c r="AA93" s="5">
        <f t="shared" si="16"/>
        <v>6</v>
      </c>
      <c r="AB93" s="5" t="str">
        <f t="shared" si="17"/>
        <v>20 - 21 hr</v>
      </c>
      <c r="AC93" s="5" t="s">
        <v>17</v>
      </c>
      <c r="AD93" s="11">
        <v>45899</v>
      </c>
      <c r="AE93" s="11">
        <v>0.55504629629629632</v>
      </c>
      <c r="AF93" s="5" t="s">
        <v>18</v>
      </c>
      <c r="AG93" s="5" t="s">
        <v>18</v>
      </c>
      <c r="AH93" s="5" t="s">
        <v>49</v>
      </c>
      <c r="AI93" s="5">
        <v>9301518177</v>
      </c>
      <c r="AJ93" s="5" t="s">
        <v>84</v>
      </c>
      <c r="AK93" s="5" t="s">
        <v>85</v>
      </c>
      <c r="AL93" s="5" t="s">
        <v>82</v>
      </c>
      <c r="AM93" s="5" t="s">
        <v>86</v>
      </c>
      <c r="AN93" s="5">
        <v>10</v>
      </c>
      <c r="AO93" s="5" t="s">
        <v>24</v>
      </c>
      <c r="AP93" s="5" t="s">
        <v>25</v>
      </c>
      <c r="AQ93" s="5">
        <f t="shared" si="11"/>
        <v>185.11555555555969</v>
      </c>
      <c r="AR93" s="5">
        <f t="shared" si="12"/>
        <v>7.71</v>
      </c>
      <c r="AS93" s="5" t="str">
        <f t="shared" si="13"/>
        <v>5-8 days</v>
      </c>
      <c r="AT93" s="5" t="str">
        <f t="shared" ca="1" si="18"/>
        <v>STATUS-COMPLETE</v>
      </c>
      <c r="AU93" s="5" t="str">
        <f t="shared" ca="1" si="19"/>
        <v>STATUS-COMPLETE</v>
      </c>
      <c r="AZ93" s="3" t="s">
        <v>39</v>
      </c>
      <c r="BA93" s="64">
        <v>3</v>
      </c>
      <c r="BB93" s="64">
        <v>2</v>
      </c>
      <c r="BC93" s="64">
        <v>5</v>
      </c>
    </row>
    <row r="94" spans="1:56" x14ac:dyDescent="0.3">
      <c r="A94" s="5">
        <v>75635154329</v>
      </c>
      <c r="B94" s="6">
        <v>45919</v>
      </c>
      <c r="C94" s="11">
        <v>0.80045138888888889</v>
      </c>
      <c r="D94" s="5" t="s">
        <v>30</v>
      </c>
      <c r="E94" s="11"/>
      <c r="F94" s="11"/>
      <c r="G94" s="5" t="s">
        <v>18</v>
      </c>
      <c r="H94" s="5" t="s">
        <v>18</v>
      </c>
      <c r="I94" s="5" t="s">
        <v>27</v>
      </c>
      <c r="J94" s="5">
        <v>9910976189</v>
      </c>
      <c r="K94" s="5" t="s">
        <v>128</v>
      </c>
      <c r="L94" s="5" t="s">
        <v>129</v>
      </c>
      <c r="M94" s="5" t="s">
        <v>33</v>
      </c>
      <c r="N94" s="5" t="s">
        <v>72</v>
      </c>
      <c r="O94" s="5">
        <v>9</v>
      </c>
      <c r="P94" s="5" t="s">
        <v>34</v>
      </c>
      <c r="Q94" s="5" t="s">
        <v>35</v>
      </c>
      <c r="U94" s="5">
        <v>75941394238</v>
      </c>
      <c r="V94" s="11">
        <v>45891</v>
      </c>
      <c r="W94" s="11">
        <v>0.67861111111111116</v>
      </c>
      <c r="X94" s="5">
        <f t="shared" si="10"/>
        <v>8</v>
      </c>
      <c r="Y94" s="5">
        <f t="shared" si="14"/>
        <v>34</v>
      </c>
      <c r="Z94" s="5">
        <f t="shared" si="15"/>
        <v>22</v>
      </c>
      <c r="AA94" s="5">
        <f t="shared" si="16"/>
        <v>6</v>
      </c>
      <c r="AB94" s="5" t="str">
        <f t="shared" si="17"/>
        <v>16 - 17 hr</v>
      </c>
      <c r="AC94" s="5" t="s">
        <v>17</v>
      </c>
      <c r="AD94" s="11">
        <v>45902</v>
      </c>
      <c r="AE94" s="11">
        <v>0.73160879629629627</v>
      </c>
      <c r="AF94" s="5" t="s">
        <v>18</v>
      </c>
      <c r="AG94" s="5" t="s">
        <v>18</v>
      </c>
      <c r="AH94" s="5" t="s">
        <v>27</v>
      </c>
      <c r="AI94" s="5">
        <v>8420277403</v>
      </c>
      <c r="AJ94" s="5" t="s">
        <v>245</v>
      </c>
      <c r="AK94" s="5" t="s">
        <v>246</v>
      </c>
      <c r="AL94" s="5" t="s">
        <v>82</v>
      </c>
      <c r="AM94" s="5" t="s">
        <v>76</v>
      </c>
      <c r="AN94" s="5">
        <v>9</v>
      </c>
      <c r="AO94" s="5" t="s">
        <v>24</v>
      </c>
      <c r="AP94" s="5" t="s">
        <v>25</v>
      </c>
      <c r="AQ94" s="5">
        <f t="shared" si="11"/>
        <v>265.27194444439374</v>
      </c>
      <c r="AR94" s="5">
        <f t="shared" si="12"/>
        <v>11.05</v>
      </c>
      <c r="AS94" s="5" t="str">
        <f t="shared" si="13"/>
        <v>9-12 days</v>
      </c>
      <c r="AT94" s="5" t="str">
        <f t="shared" ca="1" si="18"/>
        <v>STATUS-COMPLETE</v>
      </c>
      <c r="AU94" s="5" t="str">
        <f t="shared" ca="1" si="19"/>
        <v>STATUS-COMPLETE</v>
      </c>
      <c r="AZ94" s="3" t="s">
        <v>76</v>
      </c>
      <c r="BA94" s="64">
        <v>3</v>
      </c>
      <c r="BB94" s="64">
        <v>2</v>
      </c>
      <c r="BC94" s="64">
        <v>5</v>
      </c>
    </row>
    <row r="95" spans="1:56" x14ac:dyDescent="0.3">
      <c r="A95" s="5">
        <v>75636791759</v>
      </c>
      <c r="B95" s="6">
        <v>45896</v>
      </c>
      <c r="C95" s="11">
        <v>0.54325231481481484</v>
      </c>
      <c r="D95" s="5" t="s">
        <v>26</v>
      </c>
      <c r="E95" s="11">
        <v>45904</v>
      </c>
      <c r="F95" s="11">
        <v>0.67366898148148147</v>
      </c>
      <c r="G95" s="5" t="s">
        <v>18</v>
      </c>
      <c r="H95" s="5" t="s">
        <v>18</v>
      </c>
      <c r="I95" s="5" t="s">
        <v>49</v>
      </c>
      <c r="J95" s="5">
        <v>9309011435</v>
      </c>
      <c r="K95" s="5" t="s">
        <v>311</v>
      </c>
      <c r="L95" s="5" t="s">
        <v>312</v>
      </c>
      <c r="M95" s="5" t="s">
        <v>22</v>
      </c>
      <c r="N95" s="5" t="s">
        <v>86</v>
      </c>
      <c r="O95" s="5">
        <v>7</v>
      </c>
      <c r="P95" s="5" t="s">
        <v>24</v>
      </c>
      <c r="Q95" s="5" t="s">
        <v>25</v>
      </c>
      <c r="U95" s="5">
        <v>75504821934</v>
      </c>
      <c r="V95" s="11">
        <v>45891</v>
      </c>
      <c r="W95" s="11">
        <v>0.69912037037037034</v>
      </c>
      <c r="X95" s="5">
        <f t="shared" si="10"/>
        <v>8</v>
      </c>
      <c r="Y95" s="5">
        <f t="shared" si="14"/>
        <v>34</v>
      </c>
      <c r="Z95" s="5">
        <f t="shared" si="15"/>
        <v>22</v>
      </c>
      <c r="AA95" s="5">
        <f t="shared" si="16"/>
        <v>6</v>
      </c>
      <c r="AB95" s="5" t="str">
        <f t="shared" si="17"/>
        <v>16 - 17 hr</v>
      </c>
      <c r="AC95" s="5" t="s">
        <v>48</v>
      </c>
      <c r="AD95" s="11">
        <v>45895</v>
      </c>
      <c r="AE95" s="11">
        <v>0.72942129629629626</v>
      </c>
      <c r="AF95" s="5" t="s">
        <v>18</v>
      </c>
      <c r="AG95" s="5" t="s">
        <v>18</v>
      </c>
      <c r="AH95" s="5" t="s">
        <v>27</v>
      </c>
      <c r="AI95" s="5">
        <v>8369705770</v>
      </c>
      <c r="AJ95" s="5" t="s">
        <v>300</v>
      </c>
      <c r="AK95" s="5" t="s">
        <v>301</v>
      </c>
      <c r="AL95" s="5" t="s">
        <v>29</v>
      </c>
      <c r="AM95" s="5" t="s">
        <v>142</v>
      </c>
      <c r="AN95" s="5">
        <v>8</v>
      </c>
      <c r="AO95" s="5" t="s">
        <v>24</v>
      </c>
      <c r="AP95" s="5" t="s">
        <v>25</v>
      </c>
      <c r="AQ95" s="5">
        <f t="shared" si="11"/>
        <v>96.727222222136334</v>
      </c>
      <c r="AR95" s="5">
        <f t="shared" si="12"/>
        <v>4.03</v>
      </c>
      <c r="AS95" s="5" t="str">
        <f t="shared" si="13"/>
        <v>5-8 days</v>
      </c>
      <c r="AT95" s="5" t="str">
        <f t="shared" ca="1" si="18"/>
        <v>STATUS-COMPLETE</v>
      </c>
      <c r="AU95" s="5" t="str">
        <f t="shared" ca="1" si="19"/>
        <v>STATUS-COMPLETE</v>
      </c>
      <c r="AZ95" s="3" t="s">
        <v>86</v>
      </c>
      <c r="BA95" s="64">
        <v>2</v>
      </c>
      <c r="BB95" s="64">
        <v>3</v>
      </c>
      <c r="BC95" s="64">
        <v>5</v>
      </c>
    </row>
    <row r="96" spans="1:56" x14ac:dyDescent="0.3">
      <c r="A96" s="5">
        <v>75638680070</v>
      </c>
      <c r="B96" s="6">
        <v>45885</v>
      </c>
      <c r="C96" s="11">
        <v>0.46726851851851853</v>
      </c>
      <c r="D96" s="5" t="s">
        <v>55</v>
      </c>
      <c r="E96" s="11">
        <v>45887</v>
      </c>
      <c r="F96" s="11">
        <v>0.46319444444444446</v>
      </c>
      <c r="G96" s="5" t="s">
        <v>18</v>
      </c>
      <c r="H96" s="5" t="s">
        <v>18</v>
      </c>
      <c r="I96" s="5" t="s">
        <v>27</v>
      </c>
      <c r="J96" s="5">
        <v>8598757527</v>
      </c>
      <c r="K96" s="5" t="s">
        <v>353</v>
      </c>
      <c r="L96" s="5" t="s">
        <v>115</v>
      </c>
      <c r="M96" s="5" t="s">
        <v>22</v>
      </c>
      <c r="N96" s="5" t="s">
        <v>116</v>
      </c>
      <c r="O96" s="5">
        <v>7</v>
      </c>
      <c r="P96" s="5" t="s">
        <v>24</v>
      </c>
      <c r="Q96" s="5" t="s">
        <v>25</v>
      </c>
      <c r="U96" s="5">
        <v>75476051319</v>
      </c>
      <c r="V96" s="11">
        <v>45891</v>
      </c>
      <c r="W96" s="11">
        <v>0.51672453703703702</v>
      </c>
      <c r="X96" s="5">
        <f t="shared" si="10"/>
        <v>8</v>
      </c>
      <c r="Y96" s="5">
        <f t="shared" si="14"/>
        <v>34</v>
      </c>
      <c r="Z96" s="5">
        <f t="shared" si="15"/>
        <v>22</v>
      </c>
      <c r="AA96" s="5">
        <f t="shared" si="16"/>
        <v>6</v>
      </c>
      <c r="AB96" s="5" t="str">
        <f t="shared" si="17"/>
        <v>12 - 13 hr</v>
      </c>
      <c r="AC96" s="5" t="s">
        <v>17</v>
      </c>
      <c r="AD96" s="11"/>
      <c r="AE96" s="11"/>
      <c r="AF96" s="5" t="s">
        <v>18</v>
      </c>
      <c r="AG96" s="5" t="s">
        <v>18</v>
      </c>
      <c r="AH96" s="5" t="s">
        <v>36</v>
      </c>
      <c r="AI96" s="5">
        <v>7443247229</v>
      </c>
      <c r="AJ96" s="5" t="s">
        <v>326</v>
      </c>
      <c r="AK96" s="5" t="s">
        <v>327</v>
      </c>
      <c r="AL96" s="5" t="s">
        <v>82</v>
      </c>
      <c r="AM96" s="5" t="s">
        <v>94</v>
      </c>
      <c r="AN96" s="5">
        <v>5</v>
      </c>
      <c r="AO96" s="5" t="s">
        <v>34</v>
      </c>
      <c r="AP96" s="5" t="s">
        <v>60</v>
      </c>
      <c r="AQ96" s="5" t="str">
        <f t="shared" si="11"/>
        <v>Issue_pending</v>
      </c>
      <c r="AR96" s="5" t="str">
        <f t="shared" si="12"/>
        <v>Issue_pending</v>
      </c>
      <c r="AS96" s="5" t="str">
        <f t="shared" si="13"/>
        <v>Issue_pending</v>
      </c>
      <c r="AT96" s="5">
        <f t="shared" ca="1" si="18"/>
        <v>39</v>
      </c>
      <c r="AU96" s="5" t="str">
        <f t="shared" ca="1" si="19"/>
        <v>&gt;20 days</v>
      </c>
      <c r="AZ96" s="3" t="s">
        <v>63</v>
      </c>
      <c r="BA96" s="64">
        <v>2</v>
      </c>
      <c r="BB96" s="64">
        <v>2</v>
      </c>
      <c r="BC96" s="64">
        <v>4</v>
      </c>
    </row>
    <row r="97" spans="1:55" x14ac:dyDescent="0.3">
      <c r="A97" s="5">
        <v>75639699130</v>
      </c>
      <c r="B97" s="6">
        <v>45915</v>
      </c>
      <c r="C97" s="11">
        <v>0.817962962962963</v>
      </c>
      <c r="D97" s="5" t="s">
        <v>95</v>
      </c>
      <c r="E97" s="11"/>
      <c r="F97" s="11"/>
      <c r="G97" s="5" t="s">
        <v>18</v>
      </c>
      <c r="H97" s="5" t="s">
        <v>18</v>
      </c>
      <c r="I97" s="5" t="s">
        <v>27</v>
      </c>
      <c r="J97" s="5">
        <v>8625147377</v>
      </c>
      <c r="K97" s="5" t="s">
        <v>365</v>
      </c>
      <c r="L97" s="5" t="s">
        <v>366</v>
      </c>
      <c r="M97" s="5" t="s">
        <v>33</v>
      </c>
      <c r="N97" s="5" t="s">
        <v>76</v>
      </c>
      <c r="O97" s="5">
        <v>2</v>
      </c>
      <c r="P97" s="5" t="s">
        <v>34</v>
      </c>
      <c r="Q97" s="5" t="s">
        <v>35</v>
      </c>
      <c r="U97" s="5">
        <v>75591735734</v>
      </c>
      <c r="V97" s="11">
        <v>45892</v>
      </c>
      <c r="W97" s="11">
        <v>0.76113425925925926</v>
      </c>
      <c r="X97" s="5">
        <f t="shared" si="10"/>
        <v>8</v>
      </c>
      <c r="Y97" s="5">
        <f t="shared" si="14"/>
        <v>34</v>
      </c>
      <c r="Z97" s="5">
        <f t="shared" si="15"/>
        <v>23</v>
      </c>
      <c r="AA97" s="5">
        <f t="shared" si="16"/>
        <v>7</v>
      </c>
      <c r="AB97" s="5" t="str">
        <f t="shared" si="17"/>
        <v>18 - 19 hr</v>
      </c>
      <c r="AC97" s="5" t="s">
        <v>17</v>
      </c>
      <c r="AD97" s="11">
        <v>45899</v>
      </c>
      <c r="AE97" s="11">
        <v>0.72292824074074069</v>
      </c>
      <c r="AF97" s="5" t="s">
        <v>18</v>
      </c>
      <c r="AG97" s="5" t="s">
        <v>18</v>
      </c>
      <c r="AH97" s="5" t="s">
        <v>19</v>
      </c>
      <c r="AI97" s="5">
        <v>9562254028</v>
      </c>
      <c r="AJ97" s="5" t="s">
        <v>20</v>
      </c>
      <c r="AK97" s="5" t="s">
        <v>21</v>
      </c>
      <c r="AL97" s="5" t="s">
        <v>22</v>
      </c>
      <c r="AM97" s="5" t="s">
        <v>23</v>
      </c>
      <c r="AN97" s="5">
        <v>6</v>
      </c>
      <c r="AO97" s="5" t="s">
        <v>24</v>
      </c>
      <c r="AP97" s="5" t="s">
        <v>25</v>
      </c>
      <c r="AQ97" s="5">
        <f t="shared" si="11"/>
        <v>167.08305555564584</v>
      </c>
      <c r="AR97" s="5">
        <f t="shared" si="12"/>
        <v>6.96</v>
      </c>
      <c r="AS97" s="5" t="str">
        <f t="shared" si="13"/>
        <v>5-8 days</v>
      </c>
      <c r="AT97" s="5" t="str">
        <f t="shared" ca="1" si="18"/>
        <v>STATUS-COMPLETE</v>
      </c>
      <c r="AU97" s="5" t="str">
        <f t="shared" ca="1" si="19"/>
        <v>STATUS-COMPLETE</v>
      </c>
      <c r="AZ97" s="3" t="s">
        <v>94</v>
      </c>
      <c r="BA97" s="64">
        <v>2</v>
      </c>
      <c r="BB97" s="64">
        <v>1</v>
      </c>
      <c r="BC97" s="64">
        <v>3</v>
      </c>
    </row>
    <row r="98" spans="1:55" x14ac:dyDescent="0.3">
      <c r="A98" s="5">
        <v>75641096660</v>
      </c>
      <c r="B98" s="6">
        <v>45873</v>
      </c>
      <c r="C98" s="11">
        <v>0.38957175925925924</v>
      </c>
      <c r="D98" s="5" t="s">
        <v>17</v>
      </c>
      <c r="E98" s="11">
        <v>45879</v>
      </c>
      <c r="F98" s="11">
        <v>0.51672453703703702</v>
      </c>
      <c r="G98" s="5" t="s">
        <v>18</v>
      </c>
      <c r="H98" s="5" t="s">
        <v>18</v>
      </c>
      <c r="I98" s="5" t="s">
        <v>27</v>
      </c>
      <c r="J98" s="5">
        <v>9791559885</v>
      </c>
      <c r="K98" s="5" t="s">
        <v>185</v>
      </c>
      <c r="L98" s="5" t="s">
        <v>115</v>
      </c>
      <c r="M98" s="5" t="s">
        <v>33</v>
      </c>
      <c r="N98" s="5" t="s">
        <v>116</v>
      </c>
      <c r="O98" s="5">
        <v>6</v>
      </c>
      <c r="P98" s="5" t="s">
        <v>24</v>
      </c>
      <c r="Q98" s="5" t="s">
        <v>25</v>
      </c>
      <c r="U98" s="5">
        <v>75413585139</v>
      </c>
      <c r="V98" s="11">
        <v>45892</v>
      </c>
      <c r="W98" s="11">
        <v>0.66146990740740741</v>
      </c>
      <c r="X98" s="5">
        <f t="shared" si="10"/>
        <v>8</v>
      </c>
      <c r="Y98" s="5">
        <f t="shared" si="14"/>
        <v>34</v>
      </c>
      <c r="Z98" s="5">
        <f t="shared" si="15"/>
        <v>23</v>
      </c>
      <c r="AA98" s="5">
        <f t="shared" si="16"/>
        <v>7</v>
      </c>
      <c r="AB98" s="5" t="str">
        <f t="shared" si="17"/>
        <v>15 - 16 hr</v>
      </c>
      <c r="AC98" s="5" t="s">
        <v>17</v>
      </c>
      <c r="AD98" s="11">
        <v>45903</v>
      </c>
      <c r="AE98" s="11">
        <v>0.58648148148148149</v>
      </c>
      <c r="AF98" s="5" t="s">
        <v>18</v>
      </c>
      <c r="AG98" s="5" t="s">
        <v>18</v>
      </c>
      <c r="AH98" s="5" t="s">
        <v>27</v>
      </c>
      <c r="AI98" s="5">
        <v>7437662764</v>
      </c>
      <c r="AJ98" s="5" t="s">
        <v>74</v>
      </c>
      <c r="AK98" s="5" t="s">
        <v>75</v>
      </c>
      <c r="AL98" s="5" t="s">
        <v>33</v>
      </c>
      <c r="AM98" s="5" t="s">
        <v>76</v>
      </c>
      <c r="AN98" s="5">
        <v>5</v>
      </c>
      <c r="AO98" s="5" t="s">
        <v>24</v>
      </c>
      <c r="AP98" s="5" t="s">
        <v>25</v>
      </c>
      <c r="AQ98" s="5">
        <f t="shared" si="11"/>
        <v>262.20027777791256</v>
      </c>
      <c r="AR98" s="5">
        <f t="shared" si="12"/>
        <v>10.93</v>
      </c>
      <c r="AS98" s="5" t="str">
        <f t="shared" si="13"/>
        <v>9-12 days</v>
      </c>
      <c r="AT98" s="5" t="str">
        <f t="shared" ca="1" si="18"/>
        <v>STATUS-COMPLETE</v>
      </c>
      <c r="AU98" s="5" t="str">
        <f t="shared" ca="1" si="19"/>
        <v>STATUS-COMPLETE</v>
      </c>
      <c r="AZ98" s="3" t="s">
        <v>42</v>
      </c>
      <c r="BA98" s="64">
        <v>2</v>
      </c>
      <c r="BB98" s="64"/>
      <c r="BC98" s="64">
        <v>2</v>
      </c>
    </row>
    <row r="99" spans="1:55" x14ac:dyDescent="0.3">
      <c r="A99" s="5">
        <v>75642512383</v>
      </c>
      <c r="B99" s="6">
        <v>45892</v>
      </c>
      <c r="C99" s="11">
        <v>0.57212962962962965</v>
      </c>
      <c r="D99" s="5" t="s">
        <v>17</v>
      </c>
      <c r="E99" s="11">
        <v>45899</v>
      </c>
      <c r="F99" s="11">
        <v>0.43292824074074077</v>
      </c>
      <c r="G99" s="5" t="s">
        <v>18</v>
      </c>
      <c r="H99" s="5" t="s">
        <v>18</v>
      </c>
      <c r="I99" s="5" t="s">
        <v>49</v>
      </c>
      <c r="J99" s="5">
        <v>9807773530</v>
      </c>
      <c r="K99" s="5" t="s">
        <v>279</v>
      </c>
      <c r="L99" s="5" t="s">
        <v>226</v>
      </c>
      <c r="M99" s="5" t="s">
        <v>29</v>
      </c>
      <c r="N99" s="5" t="s">
        <v>94</v>
      </c>
      <c r="O99" s="5">
        <v>7</v>
      </c>
      <c r="P99" s="5" t="s">
        <v>24</v>
      </c>
      <c r="Q99" s="5" t="s">
        <v>25</v>
      </c>
      <c r="U99" s="5">
        <v>75543247463</v>
      </c>
      <c r="V99" s="11">
        <v>45892</v>
      </c>
      <c r="W99" s="11">
        <v>0.39067129629629632</v>
      </c>
      <c r="X99" s="5">
        <f t="shared" si="10"/>
        <v>8</v>
      </c>
      <c r="Y99" s="5">
        <f t="shared" si="14"/>
        <v>34</v>
      </c>
      <c r="Z99" s="5">
        <f t="shared" si="15"/>
        <v>23</v>
      </c>
      <c r="AA99" s="5">
        <f t="shared" si="16"/>
        <v>7</v>
      </c>
      <c r="AB99" s="5" t="str">
        <f t="shared" si="17"/>
        <v>9 - 10 hr</v>
      </c>
      <c r="AC99" s="5" t="s">
        <v>78</v>
      </c>
      <c r="AD99" s="11">
        <v>45903</v>
      </c>
      <c r="AE99" s="11">
        <v>0.45112268518518517</v>
      </c>
      <c r="AF99" s="5" t="s">
        <v>18</v>
      </c>
      <c r="AG99" s="5" t="s">
        <v>18</v>
      </c>
      <c r="AH99" s="5" t="s">
        <v>49</v>
      </c>
      <c r="AI99" s="5">
        <v>9760786161</v>
      </c>
      <c r="AJ99" s="5" t="s">
        <v>194</v>
      </c>
      <c r="AK99" s="5" t="s">
        <v>195</v>
      </c>
      <c r="AL99" s="5" t="s">
        <v>33</v>
      </c>
      <c r="AM99" s="5" t="s">
        <v>102</v>
      </c>
      <c r="AN99" s="5">
        <v>6</v>
      </c>
      <c r="AO99" s="5" t="s">
        <v>24</v>
      </c>
      <c r="AP99" s="5" t="s">
        <v>25</v>
      </c>
      <c r="AQ99" s="5">
        <f t="shared" si="11"/>
        <v>265.45083333319053</v>
      </c>
      <c r="AR99" s="5">
        <f t="shared" si="12"/>
        <v>11.06</v>
      </c>
      <c r="AS99" s="5" t="str">
        <f t="shared" si="13"/>
        <v>9-12 days</v>
      </c>
      <c r="AT99" s="5" t="str">
        <f t="shared" ca="1" si="18"/>
        <v>STATUS-COMPLETE</v>
      </c>
      <c r="AU99" s="5" t="str">
        <f t="shared" ca="1" si="19"/>
        <v>STATUS-COMPLETE</v>
      </c>
      <c r="AZ99" s="3" t="s">
        <v>116</v>
      </c>
      <c r="BA99" s="64">
        <v>2</v>
      </c>
      <c r="BB99" s="64"/>
      <c r="BC99" s="64">
        <v>2</v>
      </c>
    </row>
    <row r="100" spans="1:55" x14ac:dyDescent="0.3">
      <c r="A100" s="5">
        <v>75644961731</v>
      </c>
      <c r="B100" s="6">
        <v>45908</v>
      </c>
      <c r="C100" s="11">
        <v>0.60791666666666666</v>
      </c>
      <c r="D100" s="5" t="s">
        <v>55</v>
      </c>
      <c r="E100" s="11">
        <v>45914</v>
      </c>
      <c r="F100" s="11">
        <v>0.40297453703703706</v>
      </c>
      <c r="G100" s="5" t="s">
        <v>18</v>
      </c>
      <c r="H100" s="5" t="s">
        <v>18</v>
      </c>
      <c r="I100" s="5" t="s">
        <v>36</v>
      </c>
      <c r="J100" s="5">
        <v>7797737957</v>
      </c>
      <c r="K100" s="5" t="s">
        <v>284</v>
      </c>
      <c r="L100" s="5" t="s">
        <v>285</v>
      </c>
      <c r="M100" s="5" t="s">
        <v>29</v>
      </c>
      <c r="N100" s="5" t="s">
        <v>94</v>
      </c>
      <c r="O100" s="5">
        <v>2</v>
      </c>
      <c r="P100" s="5" t="s">
        <v>24</v>
      </c>
      <c r="Q100" s="5" t="s">
        <v>25</v>
      </c>
      <c r="U100" s="5">
        <v>75416799547</v>
      </c>
      <c r="V100" s="11">
        <v>45892</v>
      </c>
      <c r="W100" s="11">
        <v>0.50907407407407412</v>
      </c>
      <c r="X100" s="5">
        <f t="shared" si="10"/>
        <v>8</v>
      </c>
      <c r="Y100" s="5">
        <f t="shared" si="14"/>
        <v>34</v>
      </c>
      <c r="Z100" s="5">
        <f t="shared" si="15"/>
        <v>23</v>
      </c>
      <c r="AA100" s="5">
        <f t="shared" si="16"/>
        <v>7</v>
      </c>
      <c r="AB100" s="5" t="str">
        <f t="shared" si="17"/>
        <v>12 - 13 hr</v>
      </c>
      <c r="AC100" s="5" t="s">
        <v>17</v>
      </c>
      <c r="AD100" s="11">
        <v>45896</v>
      </c>
      <c r="AE100" s="11">
        <v>0.41864583333333333</v>
      </c>
      <c r="AF100" s="5" t="s">
        <v>18</v>
      </c>
      <c r="AG100" s="5" t="s">
        <v>18</v>
      </c>
      <c r="AH100" s="5" t="s">
        <v>49</v>
      </c>
      <c r="AI100" s="5">
        <v>9550970716</v>
      </c>
      <c r="AJ100" s="5" t="s">
        <v>260</v>
      </c>
      <c r="AK100" s="5" t="s">
        <v>261</v>
      </c>
      <c r="AL100" s="5" t="s">
        <v>29</v>
      </c>
      <c r="AM100" s="5" t="s">
        <v>86</v>
      </c>
      <c r="AN100" s="5">
        <v>1</v>
      </c>
      <c r="AO100" s="5" t="s">
        <v>24</v>
      </c>
      <c r="AP100" s="5" t="s">
        <v>25</v>
      </c>
      <c r="AQ100" s="5">
        <f t="shared" si="11"/>
        <v>93.829722222348209</v>
      </c>
      <c r="AR100" s="5">
        <f t="shared" si="12"/>
        <v>3.91</v>
      </c>
      <c r="AS100" s="5" t="str">
        <f t="shared" si="13"/>
        <v>1-4 days</v>
      </c>
      <c r="AT100" s="5" t="str">
        <f t="shared" ca="1" si="18"/>
        <v>STATUS-COMPLETE</v>
      </c>
      <c r="AU100" s="5" t="str">
        <f t="shared" ca="1" si="19"/>
        <v>STATUS-COMPLETE</v>
      </c>
      <c r="AZ100" s="3" t="s">
        <v>203</v>
      </c>
      <c r="BA100" s="64">
        <v>2</v>
      </c>
      <c r="BB100" s="64"/>
      <c r="BC100" s="64">
        <v>2</v>
      </c>
    </row>
    <row r="101" spans="1:55" x14ac:dyDescent="0.3">
      <c r="A101" s="5">
        <v>75650006353</v>
      </c>
      <c r="B101" s="6">
        <v>45878</v>
      </c>
      <c r="C101" s="11">
        <v>0.37946759259259261</v>
      </c>
      <c r="D101" s="5" t="s">
        <v>78</v>
      </c>
      <c r="E101" s="11"/>
      <c r="F101" s="11"/>
      <c r="G101" s="5" t="s">
        <v>18</v>
      </c>
      <c r="H101" s="5" t="s">
        <v>18</v>
      </c>
      <c r="I101" s="5" t="s">
        <v>49</v>
      </c>
      <c r="J101" s="5">
        <v>9028959334</v>
      </c>
      <c r="K101" s="5" t="s">
        <v>241</v>
      </c>
      <c r="L101" s="5" t="s">
        <v>239</v>
      </c>
      <c r="M101" s="5" t="s">
        <v>22</v>
      </c>
      <c r="N101" s="5" t="s">
        <v>94</v>
      </c>
      <c r="O101" s="5">
        <v>4</v>
      </c>
      <c r="P101" s="5" t="s">
        <v>24</v>
      </c>
      <c r="Q101" s="5" t="s">
        <v>25</v>
      </c>
      <c r="U101" s="5">
        <v>75642512383</v>
      </c>
      <c r="V101" s="11">
        <v>45892</v>
      </c>
      <c r="W101" s="11">
        <v>0.57212962962962965</v>
      </c>
      <c r="X101" s="5">
        <f t="shared" si="10"/>
        <v>8</v>
      </c>
      <c r="Y101" s="5">
        <f t="shared" si="14"/>
        <v>34</v>
      </c>
      <c r="Z101" s="5">
        <f t="shared" si="15"/>
        <v>23</v>
      </c>
      <c r="AA101" s="5">
        <f t="shared" si="16"/>
        <v>7</v>
      </c>
      <c r="AB101" s="5" t="str">
        <f t="shared" si="17"/>
        <v>13 - 14 hr</v>
      </c>
      <c r="AC101" s="5" t="s">
        <v>17</v>
      </c>
      <c r="AD101" s="11">
        <v>45899</v>
      </c>
      <c r="AE101" s="11">
        <v>0.43292824074074077</v>
      </c>
      <c r="AF101" s="5" t="s">
        <v>18</v>
      </c>
      <c r="AG101" s="5" t="s">
        <v>18</v>
      </c>
      <c r="AH101" s="5" t="s">
        <v>49</v>
      </c>
      <c r="AI101" s="5">
        <v>9807773530</v>
      </c>
      <c r="AJ101" s="5" t="s">
        <v>279</v>
      </c>
      <c r="AK101" s="5" t="s">
        <v>226</v>
      </c>
      <c r="AL101" s="5" t="s">
        <v>29</v>
      </c>
      <c r="AM101" s="5" t="s">
        <v>94</v>
      </c>
      <c r="AN101" s="5">
        <v>7</v>
      </c>
      <c r="AO101" s="5" t="s">
        <v>24</v>
      </c>
      <c r="AP101" s="5" t="s">
        <v>25</v>
      </c>
      <c r="AQ101" s="5">
        <f t="shared" si="11"/>
        <v>164.65916666662088</v>
      </c>
      <c r="AR101" s="5">
        <f t="shared" si="12"/>
        <v>6.86</v>
      </c>
      <c r="AS101" s="5" t="str">
        <f t="shared" si="13"/>
        <v>5-8 days</v>
      </c>
      <c r="AT101" s="5" t="str">
        <f t="shared" ca="1" si="18"/>
        <v>STATUS-COMPLETE</v>
      </c>
      <c r="AU101" s="5" t="str">
        <f t="shared" ca="1" si="19"/>
        <v>STATUS-COMPLETE</v>
      </c>
      <c r="AZ101" s="3" t="s">
        <v>392</v>
      </c>
      <c r="BA101" s="64">
        <v>40</v>
      </c>
      <c r="BB101" s="64">
        <v>19</v>
      </c>
      <c r="BC101" s="64">
        <v>59</v>
      </c>
    </row>
    <row r="102" spans="1:55" x14ac:dyDescent="0.3">
      <c r="A102" s="5">
        <v>75650636897</v>
      </c>
      <c r="B102" s="6">
        <v>45872</v>
      </c>
      <c r="C102" s="11">
        <v>0.57696759259259256</v>
      </c>
      <c r="D102" s="5" t="s">
        <v>58</v>
      </c>
      <c r="E102" s="11">
        <v>45884</v>
      </c>
      <c r="F102" s="11">
        <v>0.57285879629629632</v>
      </c>
      <c r="G102" s="5" t="s">
        <v>18</v>
      </c>
      <c r="H102" s="5" t="s">
        <v>18</v>
      </c>
      <c r="I102" s="5" t="s">
        <v>27</v>
      </c>
      <c r="J102" s="5">
        <v>9839759520</v>
      </c>
      <c r="K102" s="5" t="s">
        <v>97</v>
      </c>
      <c r="L102" s="5" t="s">
        <v>98</v>
      </c>
      <c r="M102" s="5" t="s">
        <v>29</v>
      </c>
      <c r="N102" s="5" t="s">
        <v>23</v>
      </c>
      <c r="O102" s="5">
        <v>2</v>
      </c>
      <c r="P102" s="5" t="s">
        <v>24</v>
      </c>
      <c r="Q102" s="5" t="s">
        <v>25</v>
      </c>
      <c r="U102" s="5">
        <v>75509856785</v>
      </c>
      <c r="V102" s="11">
        <v>45892</v>
      </c>
      <c r="W102" s="11">
        <v>0.39770833333333333</v>
      </c>
      <c r="X102" s="5">
        <f t="shared" si="10"/>
        <v>8</v>
      </c>
      <c r="Y102" s="5">
        <f t="shared" si="14"/>
        <v>34</v>
      </c>
      <c r="Z102" s="5">
        <f t="shared" si="15"/>
        <v>23</v>
      </c>
      <c r="AA102" s="5">
        <f t="shared" si="16"/>
        <v>7</v>
      </c>
      <c r="AB102" s="5" t="str">
        <f t="shared" si="17"/>
        <v>9 - 10 hr</v>
      </c>
      <c r="AC102" s="5" t="s">
        <v>78</v>
      </c>
      <c r="AD102" s="11">
        <v>45896</v>
      </c>
      <c r="AE102" s="11">
        <v>0.68035879629629625</v>
      </c>
      <c r="AF102" s="5" t="s">
        <v>18</v>
      </c>
      <c r="AG102" s="5" t="s">
        <v>18</v>
      </c>
      <c r="AH102" s="5" t="s">
        <v>49</v>
      </c>
      <c r="AI102" s="5">
        <v>9411439945</v>
      </c>
      <c r="AJ102" s="5" t="s">
        <v>389</v>
      </c>
      <c r="AK102" s="5" t="s">
        <v>390</v>
      </c>
      <c r="AL102" s="5" t="s">
        <v>29</v>
      </c>
      <c r="AM102" s="5" t="s">
        <v>102</v>
      </c>
      <c r="AN102" s="5">
        <v>5</v>
      </c>
      <c r="AO102" s="5" t="s">
        <v>24</v>
      </c>
      <c r="AP102" s="5" t="s">
        <v>25</v>
      </c>
      <c r="AQ102" s="5">
        <f t="shared" si="11"/>
        <v>102.78361111111008</v>
      </c>
      <c r="AR102" s="5">
        <f t="shared" si="12"/>
        <v>4.28</v>
      </c>
      <c r="AS102" s="5" t="str">
        <f t="shared" si="13"/>
        <v>5-8 days</v>
      </c>
      <c r="AT102" s="5" t="str">
        <f t="shared" ca="1" si="18"/>
        <v>STATUS-COMPLETE</v>
      </c>
      <c r="AU102" s="5" t="str">
        <f t="shared" ca="1" si="19"/>
        <v>STATUS-COMPLETE</v>
      </c>
    </row>
    <row r="103" spans="1:55" x14ac:dyDescent="0.3">
      <c r="A103" s="5">
        <v>75651258749</v>
      </c>
      <c r="B103" s="6">
        <v>45893</v>
      </c>
      <c r="C103" s="11">
        <v>0.7189699074074074</v>
      </c>
      <c r="D103" s="5" t="s">
        <v>48</v>
      </c>
      <c r="E103" s="11"/>
      <c r="F103" s="11"/>
      <c r="G103" s="5" t="s">
        <v>18</v>
      </c>
      <c r="H103" s="5" t="s">
        <v>18</v>
      </c>
      <c r="I103" s="5" t="s">
        <v>27</v>
      </c>
      <c r="J103" s="5">
        <v>7833293142</v>
      </c>
      <c r="K103" s="5" t="s">
        <v>181</v>
      </c>
      <c r="L103" s="5" t="s">
        <v>119</v>
      </c>
      <c r="M103" s="5" t="s">
        <v>29</v>
      </c>
      <c r="N103" s="5" t="s">
        <v>116</v>
      </c>
      <c r="O103" s="5">
        <v>3</v>
      </c>
      <c r="P103" s="5" t="s">
        <v>24</v>
      </c>
      <c r="Q103" s="5" t="s">
        <v>25</v>
      </c>
      <c r="U103" s="5">
        <v>75651258749</v>
      </c>
      <c r="V103" s="11">
        <v>45893</v>
      </c>
      <c r="W103" s="11">
        <v>0.7189699074074074</v>
      </c>
      <c r="X103" s="5">
        <f t="shared" si="10"/>
        <v>8</v>
      </c>
      <c r="Y103" s="5">
        <f t="shared" si="14"/>
        <v>35</v>
      </c>
      <c r="Z103" s="5">
        <f t="shared" si="15"/>
        <v>24</v>
      </c>
      <c r="AA103" s="5">
        <f t="shared" si="16"/>
        <v>1</v>
      </c>
      <c r="AB103" s="5" t="str">
        <f t="shared" si="17"/>
        <v>17 - 18 hr</v>
      </c>
      <c r="AC103" s="5" t="s">
        <v>48</v>
      </c>
      <c r="AD103" s="11"/>
      <c r="AE103" s="11"/>
      <c r="AF103" s="5" t="s">
        <v>18</v>
      </c>
      <c r="AG103" s="5" t="s">
        <v>18</v>
      </c>
      <c r="AH103" s="5" t="s">
        <v>27</v>
      </c>
      <c r="AI103" s="5">
        <v>7833293142</v>
      </c>
      <c r="AJ103" s="5" t="s">
        <v>181</v>
      </c>
      <c r="AK103" s="5" t="s">
        <v>119</v>
      </c>
      <c r="AL103" s="5" t="s">
        <v>29</v>
      </c>
      <c r="AM103" s="5" t="s">
        <v>116</v>
      </c>
      <c r="AN103" s="5">
        <v>3</v>
      </c>
      <c r="AO103" s="5" t="s">
        <v>24</v>
      </c>
      <c r="AP103" s="5" t="s">
        <v>25</v>
      </c>
      <c r="AQ103" s="5" t="str">
        <f t="shared" si="11"/>
        <v>Issue_solved_date_absent</v>
      </c>
      <c r="AR103" s="5" t="str">
        <f t="shared" si="12"/>
        <v>Issue_solved_date_absent</v>
      </c>
      <c r="AS103" s="5" t="str">
        <f t="shared" si="13"/>
        <v>Issue_solved_date_absent</v>
      </c>
      <c r="AT103" s="5" t="str">
        <f t="shared" ca="1" si="18"/>
        <v>STATUS-COMPLETE</v>
      </c>
      <c r="AU103" s="5" t="str">
        <f t="shared" ca="1" si="19"/>
        <v>STATUS-COMPLETE</v>
      </c>
    </row>
    <row r="104" spans="1:55" x14ac:dyDescent="0.3">
      <c r="A104" s="5">
        <v>75652082631</v>
      </c>
      <c r="B104" s="6">
        <v>45890</v>
      </c>
      <c r="C104" s="11">
        <v>0.82219907407407411</v>
      </c>
      <c r="D104" s="5" t="s">
        <v>30</v>
      </c>
      <c r="E104" s="11">
        <v>45898</v>
      </c>
      <c r="F104" s="11">
        <v>0.7101736111111111</v>
      </c>
      <c r="G104" s="5" t="s">
        <v>18</v>
      </c>
      <c r="H104" s="5" t="s">
        <v>18</v>
      </c>
      <c r="I104" s="5" t="s">
        <v>27</v>
      </c>
      <c r="J104" s="5">
        <v>7977046129</v>
      </c>
      <c r="K104" s="5" t="s">
        <v>120</v>
      </c>
      <c r="L104" s="5" t="s">
        <v>121</v>
      </c>
      <c r="M104" s="5" t="s">
        <v>22</v>
      </c>
      <c r="N104" s="5" t="s">
        <v>76</v>
      </c>
      <c r="O104" s="5">
        <v>3</v>
      </c>
      <c r="P104" s="5" t="s">
        <v>24</v>
      </c>
      <c r="Q104" s="5" t="s">
        <v>25</v>
      </c>
      <c r="U104" s="5">
        <v>75812005439</v>
      </c>
      <c r="V104" s="11">
        <v>45893</v>
      </c>
      <c r="W104" s="11">
        <v>0.63299768518518518</v>
      </c>
      <c r="X104" s="5">
        <f t="shared" si="10"/>
        <v>8</v>
      </c>
      <c r="Y104" s="5">
        <f t="shared" si="14"/>
        <v>35</v>
      </c>
      <c r="Z104" s="5">
        <f t="shared" si="15"/>
        <v>24</v>
      </c>
      <c r="AA104" s="5">
        <f t="shared" si="16"/>
        <v>1</v>
      </c>
      <c r="AB104" s="5" t="str">
        <f t="shared" si="17"/>
        <v>15 - 16 hr</v>
      </c>
      <c r="AC104" s="5" t="s">
        <v>46</v>
      </c>
      <c r="AD104" s="11">
        <v>45902</v>
      </c>
      <c r="AE104" s="11">
        <v>0.64349537037037041</v>
      </c>
      <c r="AF104" s="5" t="s">
        <v>18</v>
      </c>
      <c r="AG104" s="5" t="s">
        <v>18</v>
      </c>
      <c r="AH104" s="5" t="s">
        <v>27</v>
      </c>
      <c r="AI104" s="5">
        <v>9978271740</v>
      </c>
      <c r="AJ104" s="5" t="s">
        <v>309</v>
      </c>
      <c r="AK104" s="5" t="s">
        <v>141</v>
      </c>
      <c r="AL104" s="5" t="s">
        <v>82</v>
      </c>
      <c r="AM104" s="5" t="s">
        <v>142</v>
      </c>
      <c r="AN104" s="5">
        <v>7</v>
      </c>
      <c r="AO104" s="5" t="s">
        <v>24</v>
      </c>
      <c r="AP104" s="5" t="s">
        <v>25</v>
      </c>
      <c r="AQ104" s="5">
        <f t="shared" si="11"/>
        <v>216.25194444449153</v>
      </c>
      <c r="AR104" s="5">
        <f t="shared" si="12"/>
        <v>9.01</v>
      </c>
      <c r="AS104" s="5" t="str">
        <f t="shared" si="13"/>
        <v>9-12 days</v>
      </c>
      <c r="AT104" s="5" t="str">
        <f t="shared" ca="1" si="18"/>
        <v>STATUS-COMPLETE</v>
      </c>
      <c r="AU104" s="5" t="str">
        <f t="shared" ca="1" si="19"/>
        <v>STATUS-COMPLETE</v>
      </c>
    </row>
    <row r="105" spans="1:55" x14ac:dyDescent="0.3">
      <c r="A105" s="5">
        <v>75657553274</v>
      </c>
      <c r="B105" s="6">
        <v>45918</v>
      </c>
      <c r="C105" s="11">
        <v>0.48268518518518516</v>
      </c>
      <c r="D105" s="5" t="s">
        <v>95</v>
      </c>
      <c r="E105" s="11">
        <v>45922</v>
      </c>
      <c r="F105" s="11">
        <v>0.57089120370370372</v>
      </c>
      <c r="G105" s="5" t="s">
        <v>18</v>
      </c>
      <c r="H105" s="5" t="s">
        <v>18</v>
      </c>
      <c r="I105" s="5" t="s">
        <v>49</v>
      </c>
      <c r="J105" s="5">
        <v>7011492154</v>
      </c>
      <c r="K105" s="5" t="s">
        <v>96</v>
      </c>
      <c r="L105" s="5" t="s">
        <v>65</v>
      </c>
      <c r="M105" s="5" t="s">
        <v>82</v>
      </c>
      <c r="N105" s="5" t="s">
        <v>66</v>
      </c>
      <c r="O105" s="5">
        <v>6</v>
      </c>
      <c r="P105" s="5" t="s">
        <v>24</v>
      </c>
      <c r="Q105" s="5" t="s">
        <v>25</v>
      </c>
      <c r="U105" s="5">
        <v>75510493305</v>
      </c>
      <c r="V105" s="11">
        <v>45893</v>
      </c>
      <c r="W105" s="11">
        <v>0.78039351851851857</v>
      </c>
      <c r="X105" s="5">
        <f t="shared" si="10"/>
        <v>8</v>
      </c>
      <c r="Y105" s="5">
        <f t="shared" si="14"/>
        <v>35</v>
      </c>
      <c r="Z105" s="5">
        <f t="shared" si="15"/>
        <v>24</v>
      </c>
      <c r="AA105" s="5">
        <f t="shared" si="16"/>
        <v>1</v>
      </c>
      <c r="AB105" s="5" t="str">
        <f t="shared" si="17"/>
        <v>18 - 19 hr</v>
      </c>
      <c r="AC105" s="5" t="s">
        <v>17</v>
      </c>
      <c r="AD105" s="11">
        <v>45903</v>
      </c>
      <c r="AE105" s="11">
        <v>0.47442129629629631</v>
      </c>
      <c r="AF105" s="5" t="s">
        <v>18</v>
      </c>
      <c r="AG105" s="5" t="s">
        <v>18</v>
      </c>
      <c r="AH105" s="5" t="s">
        <v>27</v>
      </c>
      <c r="AI105" s="5">
        <v>7980989514</v>
      </c>
      <c r="AJ105" s="5" t="s">
        <v>338</v>
      </c>
      <c r="AK105" s="5" t="s">
        <v>220</v>
      </c>
      <c r="AL105" s="5" t="s">
        <v>33</v>
      </c>
      <c r="AM105" s="5" t="s">
        <v>203</v>
      </c>
      <c r="AN105" s="5">
        <v>8</v>
      </c>
      <c r="AO105" s="5" t="s">
        <v>24</v>
      </c>
      <c r="AP105" s="5" t="s">
        <v>25</v>
      </c>
      <c r="AQ105" s="5">
        <f t="shared" si="11"/>
        <v>232.65666666661855</v>
      </c>
      <c r="AR105" s="5">
        <f t="shared" si="12"/>
        <v>9.69</v>
      </c>
      <c r="AS105" s="5" t="str">
        <f t="shared" si="13"/>
        <v>9-12 days</v>
      </c>
      <c r="AT105" s="5" t="str">
        <f t="shared" ca="1" si="18"/>
        <v>STATUS-COMPLETE</v>
      </c>
      <c r="AU105" s="5" t="str">
        <f t="shared" ca="1" si="19"/>
        <v>STATUS-COMPLETE</v>
      </c>
    </row>
    <row r="106" spans="1:55" x14ac:dyDescent="0.3">
      <c r="A106" s="5">
        <v>75658737619</v>
      </c>
      <c r="B106" s="6">
        <v>45896</v>
      </c>
      <c r="C106" s="11">
        <v>0.5138194444444445</v>
      </c>
      <c r="D106" s="5" t="s">
        <v>95</v>
      </c>
      <c r="E106" s="11">
        <v>45901</v>
      </c>
      <c r="F106" s="11">
        <v>0.63319444444444439</v>
      </c>
      <c r="G106" s="5" t="s">
        <v>18</v>
      </c>
      <c r="H106" s="5" t="s">
        <v>18</v>
      </c>
      <c r="I106" s="5" t="s">
        <v>36</v>
      </c>
      <c r="J106" s="5">
        <v>8988677919</v>
      </c>
      <c r="K106" s="5" t="s">
        <v>266</v>
      </c>
      <c r="L106" s="5" t="s">
        <v>267</v>
      </c>
      <c r="M106" s="5" t="s">
        <v>29</v>
      </c>
      <c r="N106" s="5" t="s">
        <v>203</v>
      </c>
      <c r="O106" s="5">
        <v>6</v>
      </c>
      <c r="P106" s="5" t="s">
        <v>24</v>
      </c>
      <c r="Q106" s="5" t="s">
        <v>25</v>
      </c>
      <c r="U106" s="5">
        <v>75561669421</v>
      </c>
      <c r="V106" s="11">
        <v>45893</v>
      </c>
      <c r="W106" s="11">
        <v>0.41627314814814814</v>
      </c>
      <c r="X106" s="5">
        <f t="shared" si="10"/>
        <v>8</v>
      </c>
      <c r="Y106" s="5">
        <f t="shared" si="14"/>
        <v>35</v>
      </c>
      <c r="Z106" s="5">
        <f t="shared" si="15"/>
        <v>24</v>
      </c>
      <c r="AA106" s="5">
        <f t="shared" si="16"/>
        <v>1</v>
      </c>
      <c r="AB106" s="5" t="str">
        <f t="shared" si="17"/>
        <v>9 - 10 hr</v>
      </c>
      <c r="AC106" s="5" t="s">
        <v>43</v>
      </c>
      <c r="AD106" s="11">
        <v>45901</v>
      </c>
      <c r="AE106" s="11">
        <v>0.53260416666666666</v>
      </c>
      <c r="AF106" s="5" t="s">
        <v>18</v>
      </c>
      <c r="AG106" s="5" t="s">
        <v>18</v>
      </c>
      <c r="AH106" s="5" t="s">
        <v>49</v>
      </c>
      <c r="AI106" s="5">
        <v>8000717686</v>
      </c>
      <c r="AJ106" s="5" t="s">
        <v>344</v>
      </c>
      <c r="AK106" s="5" t="s">
        <v>345</v>
      </c>
      <c r="AL106" s="5" t="s">
        <v>82</v>
      </c>
      <c r="AM106" s="5" t="s">
        <v>66</v>
      </c>
      <c r="AN106" s="5">
        <v>2</v>
      </c>
      <c r="AO106" s="5" t="s">
        <v>24</v>
      </c>
      <c r="AP106" s="5" t="s">
        <v>25</v>
      </c>
      <c r="AQ106" s="5">
        <f t="shared" si="11"/>
        <v>194.79194444435416</v>
      </c>
      <c r="AR106" s="5">
        <f t="shared" si="12"/>
        <v>8.1199999999999992</v>
      </c>
      <c r="AS106" s="5" t="str">
        <f t="shared" si="13"/>
        <v>9-12 days</v>
      </c>
      <c r="AT106" s="5" t="str">
        <f t="shared" ca="1" si="18"/>
        <v>STATUS-COMPLETE</v>
      </c>
      <c r="AU106" s="5" t="str">
        <f t="shared" ca="1" si="19"/>
        <v>STATUS-COMPLETE</v>
      </c>
      <c r="AZ106" s="2" t="s">
        <v>391</v>
      </c>
      <c r="BA106" t="s">
        <v>503</v>
      </c>
    </row>
    <row r="107" spans="1:55" x14ac:dyDescent="0.3">
      <c r="A107" s="5">
        <v>75661899532</v>
      </c>
      <c r="B107" s="6">
        <v>45877</v>
      </c>
      <c r="C107" s="11">
        <v>0.71637731481481481</v>
      </c>
      <c r="D107" s="5" t="s">
        <v>95</v>
      </c>
      <c r="E107" s="11">
        <v>45883</v>
      </c>
      <c r="F107" s="11">
        <v>0.44711805555555556</v>
      </c>
      <c r="G107" s="5" t="s">
        <v>18</v>
      </c>
      <c r="H107" s="5" t="s">
        <v>18</v>
      </c>
      <c r="I107" s="5" t="s">
        <v>27</v>
      </c>
      <c r="J107" s="5">
        <v>8421589752</v>
      </c>
      <c r="K107" s="5" t="s">
        <v>302</v>
      </c>
      <c r="L107" s="5" t="s">
        <v>303</v>
      </c>
      <c r="M107" s="5" t="s">
        <v>82</v>
      </c>
      <c r="N107" s="5" t="s">
        <v>142</v>
      </c>
      <c r="O107" s="5">
        <v>4</v>
      </c>
      <c r="P107" s="5" t="s">
        <v>24</v>
      </c>
      <c r="Q107" s="5" t="s">
        <v>25</v>
      </c>
      <c r="U107" s="5">
        <v>75823431477</v>
      </c>
      <c r="V107" s="11">
        <v>45893</v>
      </c>
      <c r="W107" s="11">
        <v>0.44277777777777777</v>
      </c>
      <c r="X107" s="5">
        <f t="shared" si="10"/>
        <v>8</v>
      </c>
      <c r="Y107" s="5">
        <f t="shared" si="14"/>
        <v>35</v>
      </c>
      <c r="Z107" s="5">
        <f t="shared" si="15"/>
        <v>24</v>
      </c>
      <c r="AA107" s="5">
        <f t="shared" si="16"/>
        <v>1</v>
      </c>
      <c r="AB107" s="5" t="str">
        <f t="shared" si="17"/>
        <v>10 - 11 hr</v>
      </c>
      <c r="AC107" s="5" t="s">
        <v>43</v>
      </c>
      <c r="AD107" s="11">
        <v>45905</v>
      </c>
      <c r="AE107" s="11">
        <v>0.44243055555555555</v>
      </c>
      <c r="AF107" s="5" t="s">
        <v>18</v>
      </c>
      <c r="AG107" s="5" t="s">
        <v>18</v>
      </c>
      <c r="AH107" s="5" t="s">
        <v>27</v>
      </c>
      <c r="AI107" s="5">
        <v>8868237222</v>
      </c>
      <c r="AJ107" s="5" t="s">
        <v>347</v>
      </c>
      <c r="AK107" s="5" t="s">
        <v>348</v>
      </c>
      <c r="AL107" s="5" t="s">
        <v>82</v>
      </c>
      <c r="AM107" s="5" t="s">
        <v>72</v>
      </c>
      <c r="AN107" s="5">
        <v>8</v>
      </c>
      <c r="AO107" s="5" t="s">
        <v>24</v>
      </c>
      <c r="AP107" s="5" t="s">
        <v>25</v>
      </c>
      <c r="AQ107" s="5">
        <f t="shared" si="11"/>
        <v>287.99166666681413</v>
      </c>
      <c r="AR107" s="5">
        <f t="shared" si="12"/>
        <v>12</v>
      </c>
      <c r="AS107" s="5" t="str">
        <f t="shared" si="13"/>
        <v>9-12 days</v>
      </c>
      <c r="AT107" s="5" t="str">
        <f t="shared" ca="1" si="18"/>
        <v>STATUS-COMPLETE</v>
      </c>
      <c r="AU107" s="5" t="str">
        <f t="shared" ca="1" si="19"/>
        <v>STATUS-COMPLETE</v>
      </c>
      <c r="AZ107" s="3" t="s">
        <v>72</v>
      </c>
      <c r="BA107" s="12">
        <v>7.8988888888888873</v>
      </c>
    </row>
    <row r="108" spans="1:55" x14ac:dyDescent="0.3">
      <c r="A108" s="5">
        <v>75668830491</v>
      </c>
      <c r="B108" s="6">
        <v>45872</v>
      </c>
      <c r="C108" s="11">
        <v>0.37863425925925925</v>
      </c>
      <c r="D108" s="5" t="s">
        <v>58</v>
      </c>
      <c r="E108" s="11"/>
      <c r="F108" s="11"/>
      <c r="G108" s="5" t="s">
        <v>18</v>
      </c>
      <c r="H108" s="5" t="s">
        <v>18</v>
      </c>
      <c r="I108" s="5" t="s">
        <v>49</v>
      </c>
      <c r="J108" s="5">
        <v>9521673791</v>
      </c>
      <c r="K108" s="5" t="s">
        <v>100</v>
      </c>
      <c r="L108" s="5" t="s">
        <v>101</v>
      </c>
      <c r="M108" s="5" t="s">
        <v>33</v>
      </c>
      <c r="N108" s="5" t="s">
        <v>102</v>
      </c>
      <c r="O108" s="5">
        <v>1</v>
      </c>
      <c r="P108" s="5" t="s">
        <v>34</v>
      </c>
      <c r="Q108" s="5" t="s">
        <v>35</v>
      </c>
      <c r="U108" s="5">
        <v>75470772317</v>
      </c>
      <c r="V108" s="11">
        <v>45894</v>
      </c>
      <c r="W108" s="11">
        <v>0.5879050925925926</v>
      </c>
      <c r="X108" s="5">
        <f t="shared" si="10"/>
        <v>8</v>
      </c>
      <c r="Y108" s="5">
        <f t="shared" si="14"/>
        <v>35</v>
      </c>
      <c r="Z108" s="5">
        <f t="shared" si="15"/>
        <v>25</v>
      </c>
      <c r="AA108" s="5">
        <f t="shared" si="16"/>
        <v>2</v>
      </c>
      <c r="AB108" s="5" t="str">
        <f t="shared" si="17"/>
        <v>14 - 15 hr</v>
      </c>
      <c r="AC108" s="5" t="s">
        <v>55</v>
      </c>
      <c r="AD108" s="11">
        <v>45900</v>
      </c>
      <c r="AE108" s="11">
        <v>0.75266203703703705</v>
      </c>
      <c r="AF108" s="5" t="s">
        <v>18</v>
      </c>
      <c r="AG108" s="5" t="s">
        <v>18</v>
      </c>
      <c r="AH108" s="5" t="s">
        <v>19</v>
      </c>
      <c r="AI108" s="5">
        <v>8220401982</v>
      </c>
      <c r="AJ108" s="5" t="s">
        <v>175</v>
      </c>
      <c r="AK108" s="5" t="s">
        <v>174</v>
      </c>
      <c r="AL108" s="5" t="s">
        <v>33</v>
      </c>
      <c r="AM108" s="5" t="s">
        <v>63</v>
      </c>
      <c r="AN108" s="5">
        <v>10</v>
      </c>
      <c r="AO108" s="5" t="s">
        <v>24</v>
      </c>
      <c r="AP108" s="5" t="s">
        <v>25</v>
      </c>
      <c r="AQ108" s="5">
        <f t="shared" si="11"/>
        <v>147.95416666654637</v>
      </c>
      <c r="AR108" s="5">
        <f t="shared" si="12"/>
        <v>6.16</v>
      </c>
      <c r="AS108" s="5" t="str">
        <f t="shared" si="13"/>
        <v>5-8 days</v>
      </c>
      <c r="AT108" s="5" t="str">
        <f t="shared" ca="1" si="18"/>
        <v>STATUS-COMPLETE</v>
      </c>
      <c r="AU108" s="5" t="str">
        <f t="shared" ca="1" si="19"/>
        <v>STATUS-COMPLETE</v>
      </c>
      <c r="AZ108" s="3" t="s">
        <v>94</v>
      </c>
      <c r="BA108" s="12">
        <v>7.6618181818181821</v>
      </c>
    </row>
    <row r="109" spans="1:55" x14ac:dyDescent="0.3">
      <c r="A109" s="5">
        <v>75675139575</v>
      </c>
      <c r="B109" s="6">
        <v>45885</v>
      </c>
      <c r="C109" s="11">
        <v>0.5907175925925926</v>
      </c>
      <c r="D109" s="5" t="s">
        <v>58</v>
      </c>
      <c r="E109" s="11">
        <v>45896</v>
      </c>
      <c r="F109" s="11">
        <v>0.44181712962962966</v>
      </c>
      <c r="G109" s="5" t="s">
        <v>18</v>
      </c>
      <c r="H109" s="5" t="s">
        <v>18</v>
      </c>
      <c r="I109" s="5" t="s">
        <v>27</v>
      </c>
      <c r="J109" s="5">
        <v>7491914923</v>
      </c>
      <c r="K109" s="5" t="s">
        <v>70</v>
      </c>
      <c r="L109" s="5" t="s">
        <v>71</v>
      </c>
      <c r="M109" s="5" t="s">
        <v>29</v>
      </c>
      <c r="N109" s="5" t="s">
        <v>72</v>
      </c>
      <c r="O109" s="5">
        <v>1</v>
      </c>
      <c r="P109" s="5" t="s">
        <v>24</v>
      </c>
      <c r="Q109" s="5" t="s">
        <v>25</v>
      </c>
      <c r="U109" s="5">
        <v>75936718857</v>
      </c>
      <c r="V109" s="11">
        <v>45894</v>
      </c>
      <c r="W109" s="11">
        <v>0.65405092592592595</v>
      </c>
      <c r="X109" s="5">
        <f t="shared" si="10"/>
        <v>8</v>
      </c>
      <c r="Y109" s="5">
        <f t="shared" si="14"/>
        <v>35</v>
      </c>
      <c r="Z109" s="5">
        <f t="shared" si="15"/>
        <v>25</v>
      </c>
      <c r="AA109" s="5">
        <f t="shared" si="16"/>
        <v>2</v>
      </c>
      <c r="AB109" s="5" t="str">
        <f t="shared" si="17"/>
        <v>15 - 16 hr</v>
      </c>
      <c r="AC109" s="5" t="s">
        <v>78</v>
      </c>
      <c r="AD109" s="11">
        <v>45895</v>
      </c>
      <c r="AE109" s="11">
        <v>0.40567129629629628</v>
      </c>
      <c r="AF109" s="5" t="s">
        <v>18</v>
      </c>
      <c r="AG109" s="5" t="s">
        <v>18</v>
      </c>
      <c r="AH109" s="5" t="s">
        <v>27</v>
      </c>
      <c r="AI109" s="5">
        <v>9430335702</v>
      </c>
      <c r="AJ109" s="5" t="s">
        <v>280</v>
      </c>
      <c r="AK109" s="5" t="s">
        <v>119</v>
      </c>
      <c r="AL109" s="5" t="s">
        <v>22</v>
      </c>
      <c r="AM109" s="5" t="s">
        <v>116</v>
      </c>
      <c r="AN109" s="5">
        <v>7</v>
      </c>
      <c r="AO109" s="5" t="s">
        <v>24</v>
      </c>
      <c r="AP109" s="5" t="s">
        <v>25</v>
      </c>
      <c r="AQ109" s="5">
        <f t="shared" si="11"/>
        <v>18.038888888899237</v>
      </c>
      <c r="AR109" s="5">
        <f t="shared" si="12"/>
        <v>0.75</v>
      </c>
      <c r="AS109" s="5" t="str">
        <f t="shared" si="13"/>
        <v>1-4 days</v>
      </c>
      <c r="AT109" s="5" t="str">
        <f t="shared" ca="1" si="18"/>
        <v>STATUS-COMPLETE</v>
      </c>
      <c r="AU109" s="5" t="str">
        <f t="shared" ca="1" si="19"/>
        <v>STATUS-COMPLETE</v>
      </c>
      <c r="AZ109" s="3" t="s">
        <v>39</v>
      </c>
      <c r="BA109" s="12">
        <v>7.4507692307692306</v>
      </c>
    </row>
    <row r="110" spans="1:55" x14ac:dyDescent="0.3">
      <c r="A110" s="5">
        <v>75677818215</v>
      </c>
      <c r="B110" s="6">
        <v>45911</v>
      </c>
      <c r="C110" s="11">
        <v>0.52276620370370375</v>
      </c>
      <c r="D110" s="5" t="s">
        <v>46</v>
      </c>
      <c r="E110" s="11">
        <v>45917</v>
      </c>
      <c r="F110" s="11">
        <v>0.62916666666666665</v>
      </c>
      <c r="G110" s="5" t="s">
        <v>18</v>
      </c>
      <c r="H110" s="5" t="s">
        <v>18</v>
      </c>
      <c r="I110" s="5" t="s">
        <v>27</v>
      </c>
      <c r="J110" s="5">
        <v>9396563469</v>
      </c>
      <c r="K110" s="5" t="s">
        <v>298</v>
      </c>
      <c r="L110" s="5" t="s">
        <v>220</v>
      </c>
      <c r="M110" s="5" t="s">
        <v>22</v>
      </c>
      <c r="N110" s="5" t="s">
        <v>203</v>
      </c>
      <c r="O110" s="5">
        <v>2</v>
      </c>
      <c r="P110" s="5" t="s">
        <v>24</v>
      </c>
      <c r="Q110" s="5" t="s">
        <v>25</v>
      </c>
      <c r="U110" s="5">
        <v>75703932500</v>
      </c>
      <c r="V110" s="11">
        <v>45895</v>
      </c>
      <c r="W110" s="11">
        <v>0.64553240740740736</v>
      </c>
      <c r="X110" s="5">
        <f t="shared" si="10"/>
        <v>8</v>
      </c>
      <c r="Y110" s="5">
        <f t="shared" si="14"/>
        <v>35</v>
      </c>
      <c r="Z110" s="5">
        <f t="shared" si="15"/>
        <v>26</v>
      </c>
      <c r="AA110" s="5">
        <f t="shared" si="16"/>
        <v>3</v>
      </c>
      <c r="AB110" s="5" t="str">
        <f t="shared" si="17"/>
        <v>15 - 16 hr</v>
      </c>
      <c r="AC110" s="5" t="s">
        <v>78</v>
      </c>
      <c r="AD110" s="11"/>
      <c r="AE110" s="11"/>
      <c r="AF110" s="5" t="s">
        <v>18</v>
      </c>
      <c r="AG110" s="5" t="s">
        <v>18</v>
      </c>
      <c r="AH110" s="5" t="s">
        <v>27</v>
      </c>
      <c r="AI110" s="5">
        <v>8324663629</v>
      </c>
      <c r="AJ110" s="5" t="s">
        <v>272</v>
      </c>
      <c r="AK110" s="5" t="s">
        <v>253</v>
      </c>
      <c r="AL110" s="5" t="s">
        <v>33</v>
      </c>
      <c r="AM110" s="5" t="s">
        <v>76</v>
      </c>
      <c r="AN110" s="5">
        <v>6</v>
      </c>
      <c r="AO110" s="5" t="s">
        <v>34</v>
      </c>
      <c r="AP110" s="5" t="s">
        <v>35</v>
      </c>
      <c r="AQ110" s="5" t="str">
        <f t="shared" si="11"/>
        <v>Issue_pending</v>
      </c>
      <c r="AR110" s="5" t="str">
        <f t="shared" si="12"/>
        <v>Issue_pending</v>
      </c>
      <c r="AS110" s="5" t="str">
        <f t="shared" si="13"/>
        <v>Issue_pending</v>
      </c>
      <c r="AT110" s="5">
        <f t="shared" ca="1" si="18"/>
        <v>35</v>
      </c>
      <c r="AU110" s="5" t="str">
        <f t="shared" ca="1" si="19"/>
        <v>&gt;20 days</v>
      </c>
      <c r="AZ110" s="3" t="s">
        <v>52</v>
      </c>
      <c r="BA110" s="12">
        <v>7.4224999999999994</v>
      </c>
    </row>
    <row r="111" spans="1:55" x14ac:dyDescent="0.3">
      <c r="A111" s="5">
        <v>75679340713</v>
      </c>
      <c r="B111" s="6">
        <v>45878</v>
      </c>
      <c r="C111" s="11">
        <v>0.6390393518518519</v>
      </c>
      <c r="D111" s="5" t="s">
        <v>48</v>
      </c>
      <c r="E111" s="11"/>
      <c r="F111" s="11"/>
      <c r="G111" s="5" t="s">
        <v>18</v>
      </c>
      <c r="H111" s="5" t="s">
        <v>18</v>
      </c>
      <c r="I111" s="5" t="s">
        <v>49</v>
      </c>
      <c r="J111" s="5">
        <v>8403792057</v>
      </c>
      <c r="K111" s="5" t="s">
        <v>64</v>
      </c>
      <c r="L111" s="5" t="s">
        <v>65</v>
      </c>
      <c r="M111" s="5" t="s">
        <v>22</v>
      </c>
      <c r="N111" s="5" t="s">
        <v>66</v>
      </c>
      <c r="O111" s="5">
        <v>7</v>
      </c>
      <c r="P111" s="5" t="s">
        <v>34</v>
      </c>
      <c r="Q111" s="5" t="s">
        <v>67</v>
      </c>
      <c r="U111" s="5">
        <v>75719378952</v>
      </c>
      <c r="V111" s="11">
        <v>45895</v>
      </c>
      <c r="W111" s="11">
        <v>0.77575231481481477</v>
      </c>
      <c r="X111" s="5">
        <f t="shared" si="10"/>
        <v>8</v>
      </c>
      <c r="Y111" s="5">
        <f t="shared" si="14"/>
        <v>35</v>
      </c>
      <c r="Z111" s="5">
        <f t="shared" si="15"/>
        <v>26</v>
      </c>
      <c r="AA111" s="5">
        <f t="shared" si="16"/>
        <v>3</v>
      </c>
      <c r="AB111" s="5" t="str">
        <f t="shared" si="17"/>
        <v>18 - 19 hr</v>
      </c>
      <c r="AC111" s="5" t="s">
        <v>95</v>
      </c>
      <c r="AD111" s="11">
        <v>45901</v>
      </c>
      <c r="AE111" s="11">
        <v>0.62116898148148147</v>
      </c>
      <c r="AF111" s="5" t="s">
        <v>18</v>
      </c>
      <c r="AG111" s="5" t="s">
        <v>18</v>
      </c>
      <c r="AH111" s="5" t="s">
        <v>27</v>
      </c>
      <c r="AI111" s="5">
        <v>8345122542</v>
      </c>
      <c r="AJ111" s="5" t="s">
        <v>307</v>
      </c>
      <c r="AK111" s="5" t="s">
        <v>308</v>
      </c>
      <c r="AL111" s="5" t="s">
        <v>82</v>
      </c>
      <c r="AM111" s="5" t="s">
        <v>203</v>
      </c>
      <c r="AN111" s="5">
        <v>4</v>
      </c>
      <c r="AO111" s="5" t="s">
        <v>24</v>
      </c>
      <c r="AP111" s="5" t="s">
        <v>25</v>
      </c>
      <c r="AQ111" s="5">
        <f t="shared" si="11"/>
        <v>140.28999999992084</v>
      </c>
      <c r="AR111" s="5">
        <f t="shared" si="12"/>
        <v>5.85</v>
      </c>
      <c r="AS111" s="5" t="str">
        <f t="shared" si="13"/>
        <v>5-8 days</v>
      </c>
      <c r="AT111" s="5" t="str">
        <f t="shared" ca="1" si="18"/>
        <v>STATUS-COMPLETE</v>
      </c>
      <c r="AU111" s="5" t="str">
        <f t="shared" ca="1" si="19"/>
        <v>STATUS-COMPLETE</v>
      </c>
      <c r="AZ111" s="3" t="s">
        <v>102</v>
      </c>
      <c r="BA111" s="12">
        <v>7.330000000000001</v>
      </c>
    </row>
    <row r="112" spans="1:55" x14ac:dyDescent="0.3">
      <c r="A112" s="5">
        <v>75680383739</v>
      </c>
      <c r="B112" s="6">
        <v>45884</v>
      </c>
      <c r="C112" s="11">
        <v>0.41968749999999999</v>
      </c>
      <c r="D112" s="5" t="s">
        <v>95</v>
      </c>
      <c r="E112" s="11">
        <v>45886</v>
      </c>
      <c r="F112" s="11">
        <v>0.38751157407407405</v>
      </c>
      <c r="G112" s="5" t="s">
        <v>18</v>
      </c>
      <c r="H112" s="5" t="s">
        <v>18</v>
      </c>
      <c r="I112" s="5" t="s">
        <v>27</v>
      </c>
      <c r="J112" s="5">
        <v>8612579345</v>
      </c>
      <c r="K112" s="5" t="s">
        <v>371</v>
      </c>
      <c r="L112" s="5" t="s">
        <v>115</v>
      </c>
      <c r="M112" s="5" t="s">
        <v>33</v>
      </c>
      <c r="N112" s="5" t="s">
        <v>116</v>
      </c>
      <c r="O112" s="5">
        <v>7</v>
      </c>
      <c r="P112" s="5" t="s">
        <v>24</v>
      </c>
      <c r="Q112" s="5" t="s">
        <v>25</v>
      </c>
      <c r="U112" s="5">
        <v>75563894795</v>
      </c>
      <c r="V112" s="11">
        <v>45896</v>
      </c>
      <c r="W112" s="11">
        <v>0.83298611111111109</v>
      </c>
      <c r="X112" s="5">
        <f t="shared" si="10"/>
        <v>8</v>
      </c>
      <c r="Y112" s="5">
        <f t="shared" si="14"/>
        <v>35</v>
      </c>
      <c r="Z112" s="5">
        <f t="shared" si="15"/>
        <v>27</v>
      </c>
      <c r="AA112" s="5">
        <f t="shared" si="16"/>
        <v>4</v>
      </c>
      <c r="AB112" s="5" t="str">
        <f t="shared" si="17"/>
        <v>19 - 20 hr</v>
      </c>
      <c r="AC112" s="5" t="s">
        <v>17</v>
      </c>
      <c r="AD112" s="11">
        <v>45902</v>
      </c>
      <c r="AE112" s="11">
        <v>0.63937500000000003</v>
      </c>
      <c r="AF112" s="5" t="s">
        <v>18</v>
      </c>
      <c r="AG112" s="5" t="s">
        <v>18</v>
      </c>
      <c r="AH112" s="5" t="s">
        <v>19</v>
      </c>
      <c r="AI112" s="5">
        <v>7391807468</v>
      </c>
      <c r="AJ112" s="5" t="s">
        <v>151</v>
      </c>
      <c r="AK112" s="5" t="s">
        <v>152</v>
      </c>
      <c r="AL112" s="5" t="s">
        <v>33</v>
      </c>
      <c r="AM112" s="5" t="s">
        <v>94</v>
      </c>
      <c r="AN112" s="5">
        <v>5</v>
      </c>
      <c r="AO112" s="5" t="s">
        <v>24</v>
      </c>
      <c r="AP112" s="5" t="s">
        <v>25</v>
      </c>
      <c r="AQ112" s="5">
        <f t="shared" si="11"/>
        <v>139.35333333327435</v>
      </c>
      <c r="AR112" s="5">
        <f t="shared" si="12"/>
        <v>5.81</v>
      </c>
      <c r="AS112" s="5" t="str">
        <f t="shared" si="13"/>
        <v>5-8 days</v>
      </c>
      <c r="AT112" s="5" t="str">
        <f t="shared" ca="1" si="18"/>
        <v>STATUS-COMPLETE</v>
      </c>
      <c r="AU112" s="5" t="str">
        <f t="shared" ca="1" si="19"/>
        <v>STATUS-COMPLETE</v>
      </c>
      <c r="AZ112" s="3" t="s">
        <v>42</v>
      </c>
      <c r="BA112" s="12">
        <v>7.0956250000000001</v>
      </c>
    </row>
    <row r="113" spans="1:53" x14ac:dyDescent="0.3">
      <c r="A113" s="5">
        <v>75687057426</v>
      </c>
      <c r="B113" s="6">
        <v>45890</v>
      </c>
      <c r="C113" s="11">
        <v>0.7484143518518519</v>
      </c>
      <c r="D113" s="5"/>
      <c r="E113" s="11"/>
      <c r="F113" s="11"/>
      <c r="G113" s="5" t="s">
        <v>18</v>
      </c>
      <c r="H113" s="5" t="s">
        <v>18</v>
      </c>
      <c r="I113" s="5" t="s">
        <v>49</v>
      </c>
      <c r="J113" s="5">
        <v>7582349911</v>
      </c>
      <c r="K113" s="5" t="s">
        <v>316</v>
      </c>
      <c r="L113" s="5" t="s">
        <v>251</v>
      </c>
      <c r="M113" s="5" t="s">
        <v>33</v>
      </c>
      <c r="N113" s="5" t="s">
        <v>52</v>
      </c>
      <c r="O113" s="5">
        <v>3</v>
      </c>
      <c r="P113" s="5" t="s">
        <v>34</v>
      </c>
      <c r="Q113" s="5" t="s">
        <v>60</v>
      </c>
      <c r="U113" s="5">
        <v>75742863363</v>
      </c>
      <c r="V113" s="11">
        <v>45896</v>
      </c>
      <c r="W113" s="11">
        <v>0.87178240740740742</v>
      </c>
      <c r="X113" s="5">
        <f t="shared" si="10"/>
        <v>8</v>
      </c>
      <c r="Y113" s="5">
        <f t="shared" si="14"/>
        <v>35</v>
      </c>
      <c r="Z113" s="5">
        <f t="shared" si="15"/>
        <v>27</v>
      </c>
      <c r="AA113" s="5">
        <f t="shared" si="16"/>
        <v>4</v>
      </c>
      <c r="AB113" s="5" t="str">
        <f t="shared" si="17"/>
        <v>20 - 21 hr</v>
      </c>
      <c r="AC113" s="5" t="s">
        <v>55</v>
      </c>
      <c r="AD113" s="11">
        <v>45900</v>
      </c>
      <c r="AE113" s="11">
        <v>0.60982638888888885</v>
      </c>
      <c r="AF113" s="5" t="s">
        <v>18</v>
      </c>
      <c r="AG113" s="5" t="s">
        <v>18</v>
      </c>
      <c r="AH113" s="5" t="s">
        <v>19</v>
      </c>
      <c r="AI113" s="5">
        <v>7561636336</v>
      </c>
      <c r="AJ113" s="5" t="s">
        <v>221</v>
      </c>
      <c r="AK113" s="5" t="s">
        <v>137</v>
      </c>
      <c r="AL113" s="5" t="s">
        <v>33</v>
      </c>
      <c r="AM113" s="5" t="s">
        <v>63</v>
      </c>
      <c r="AN113" s="5">
        <v>1</v>
      </c>
      <c r="AO113" s="5" t="s">
        <v>24</v>
      </c>
      <c r="AP113" s="5" t="s">
        <v>25</v>
      </c>
      <c r="AQ113" s="5">
        <f t="shared" si="11"/>
        <v>89.713055555534083</v>
      </c>
      <c r="AR113" s="5">
        <f t="shared" si="12"/>
        <v>3.74</v>
      </c>
      <c r="AS113" s="5" t="str">
        <f t="shared" si="13"/>
        <v>1-4 days</v>
      </c>
      <c r="AT113" s="5" t="str">
        <f t="shared" ca="1" si="18"/>
        <v>STATUS-COMPLETE</v>
      </c>
      <c r="AU113" s="5" t="str">
        <f t="shared" ca="1" si="19"/>
        <v>STATUS-COMPLETE</v>
      </c>
      <c r="AZ113" s="3" t="s">
        <v>23</v>
      </c>
      <c r="BA113" s="12">
        <v>6.9649999999999999</v>
      </c>
    </row>
    <row r="114" spans="1:53" x14ac:dyDescent="0.3">
      <c r="A114" s="5">
        <v>75691086098</v>
      </c>
      <c r="B114" s="6">
        <v>45883</v>
      </c>
      <c r="C114" s="11">
        <v>0.41601851851851851</v>
      </c>
      <c r="D114" s="5" t="s">
        <v>30</v>
      </c>
      <c r="E114" s="11"/>
      <c r="F114" s="11"/>
      <c r="G114" s="5" t="s">
        <v>18</v>
      </c>
      <c r="H114" s="5" t="s">
        <v>18</v>
      </c>
      <c r="I114" s="5" t="s">
        <v>27</v>
      </c>
      <c r="J114" s="5">
        <v>9332299091</v>
      </c>
      <c r="K114" s="5" t="s">
        <v>281</v>
      </c>
      <c r="L114" s="5" t="s">
        <v>119</v>
      </c>
      <c r="M114" s="5" t="s">
        <v>29</v>
      </c>
      <c r="N114" s="5" t="s">
        <v>116</v>
      </c>
      <c r="O114" s="5">
        <v>1</v>
      </c>
      <c r="P114" s="5" t="s">
        <v>34</v>
      </c>
      <c r="Q114" s="5" t="s">
        <v>35</v>
      </c>
      <c r="U114" s="5">
        <v>75744851196</v>
      </c>
      <c r="V114" s="11">
        <v>45896</v>
      </c>
      <c r="W114" s="11">
        <v>0.57017361111111109</v>
      </c>
      <c r="X114" s="5">
        <f t="shared" si="10"/>
        <v>8</v>
      </c>
      <c r="Y114" s="5">
        <f t="shared" si="14"/>
        <v>35</v>
      </c>
      <c r="Z114" s="5">
        <f t="shared" si="15"/>
        <v>27</v>
      </c>
      <c r="AA114" s="5">
        <f t="shared" si="16"/>
        <v>4</v>
      </c>
      <c r="AB114" s="5" t="str">
        <f t="shared" si="17"/>
        <v>13 - 14 hr</v>
      </c>
      <c r="AC114" s="5" t="s">
        <v>17</v>
      </c>
      <c r="AD114" s="11">
        <v>45904</v>
      </c>
      <c r="AE114" s="11">
        <v>0.69527777777777777</v>
      </c>
      <c r="AF114" s="5" t="s">
        <v>18</v>
      </c>
      <c r="AG114" s="5" t="s">
        <v>18</v>
      </c>
      <c r="AH114" s="5" t="s">
        <v>27</v>
      </c>
      <c r="AI114" s="5">
        <v>9801601713</v>
      </c>
      <c r="AJ114" s="5" t="s">
        <v>242</v>
      </c>
      <c r="AK114" s="5" t="s">
        <v>210</v>
      </c>
      <c r="AL114" s="5" t="s">
        <v>33</v>
      </c>
      <c r="AM114" s="5" t="s">
        <v>142</v>
      </c>
      <c r="AN114" s="5">
        <v>1</v>
      </c>
      <c r="AO114" s="5" t="s">
        <v>24</v>
      </c>
      <c r="AP114" s="5" t="s">
        <v>25</v>
      </c>
      <c r="AQ114" s="5">
        <f t="shared" si="11"/>
        <v>195.00250000006054</v>
      </c>
      <c r="AR114" s="5">
        <f t="shared" si="12"/>
        <v>8.1300000000000008</v>
      </c>
      <c r="AS114" s="5" t="str">
        <f t="shared" si="13"/>
        <v>9-12 days</v>
      </c>
      <c r="AT114" s="5" t="str">
        <f t="shared" ca="1" si="18"/>
        <v>STATUS-COMPLETE</v>
      </c>
      <c r="AU114" s="5" t="str">
        <f t="shared" ca="1" si="19"/>
        <v>STATUS-COMPLETE</v>
      </c>
      <c r="AZ114" s="3" t="s">
        <v>66</v>
      </c>
      <c r="BA114" s="12">
        <v>6.8533333333333335</v>
      </c>
    </row>
    <row r="115" spans="1:53" x14ac:dyDescent="0.3">
      <c r="A115" s="5">
        <v>75691751878</v>
      </c>
      <c r="B115" s="6">
        <v>45901</v>
      </c>
      <c r="C115" s="11">
        <v>0.59788194444444442</v>
      </c>
      <c r="D115" s="5" t="s">
        <v>46</v>
      </c>
      <c r="E115" s="11">
        <v>45906</v>
      </c>
      <c r="F115" s="11">
        <v>0.66996527777777781</v>
      </c>
      <c r="G115" s="5" t="s">
        <v>18</v>
      </c>
      <c r="H115" s="5" t="s">
        <v>18</v>
      </c>
      <c r="I115" s="5" t="s">
        <v>49</v>
      </c>
      <c r="J115" s="5">
        <v>7346078411</v>
      </c>
      <c r="K115" s="5" t="s">
        <v>53</v>
      </c>
      <c r="L115" s="5" t="s">
        <v>54</v>
      </c>
      <c r="M115" s="5" t="s">
        <v>33</v>
      </c>
      <c r="N115" s="5" t="s">
        <v>42</v>
      </c>
      <c r="O115" s="5">
        <v>4</v>
      </c>
      <c r="P115" s="5" t="s">
        <v>24</v>
      </c>
      <c r="Q115" s="5" t="s">
        <v>25</v>
      </c>
      <c r="U115" s="5">
        <v>75658737619</v>
      </c>
      <c r="V115" s="11">
        <v>45896</v>
      </c>
      <c r="W115" s="11">
        <v>0.5138194444444445</v>
      </c>
      <c r="X115" s="5">
        <f t="shared" si="10"/>
        <v>8</v>
      </c>
      <c r="Y115" s="5">
        <f t="shared" si="14"/>
        <v>35</v>
      </c>
      <c r="Z115" s="5">
        <f t="shared" si="15"/>
        <v>27</v>
      </c>
      <c r="AA115" s="5">
        <f t="shared" si="16"/>
        <v>4</v>
      </c>
      <c r="AB115" s="5" t="str">
        <f t="shared" si="17"/>
        <v>12 - 13 hr</v>
      </c>
      <c r="AC115" s="5" t="s">
        <v>95</v>
      </c>
      <c r="AD115" s="11">
        <v>45901</v>
      </c>
      <c r="AE115" s="11">
        <v>0.63319444444444439</v>
      </c>
      <c r="AF115" s="5" t="s">
        <v>18</v>
      </c>
      <c r="AG115" s="5" t="s">
        <v>18</v>
      </c>
      <c r="AH115" s="5" t="s">
        <v>36</v>
      </c>
      <c r="AI115" s="5">
        <v>8988677919</v>
      </c>
      <c r="AJ115" s="5" t="s">
        <v>266</v>
      </c>
      <c r="AK115" s="5" t="s">
        <v>267</v>
      </c>
      <c r="AL115" s="5" t="s">
        <v>29</v>
      </c>
      <c r="AM115" s="5" t="s">
        <v>203</v>
      </c>
      <c r="AN115" s="5">
        <v>6</v>
      </c>
      <c r="AO115" s="5" t="s">
        <v>24</v>
      </c>
      <c r="AP115" s="5" t="s">
        <v>25</v>
      </c>
      <c r="AQ115" s="5">
        <f t="shared" si="11"/>
        <v>122.86500000004889</v>
      </c>
      <c r="AR115" s="5">
        <f t="shared" si="12"/>
        <v>5.12</v>
      </c>
      <c r="AS115" s="5" t="str">
        <f t="shared" si="13"/>
        <v>5-8 days</v>
      </c>
      <c r="AT115" s="5" t="str">
        <f t="shared" ca="1" si="18"/>
        <v>STATUS-COMPLETE</v>
      </c>
      <c r="AU115" s="5" t="str">
        <f t="shared" ca="1" si="19"/>
        <v>STATUS-COMPLETE</v>
      </c>
      <c r="AZ115" s="3" t="s">
        <v>63</v>
      </c>
      <c r="BA115" s="12">
        <v>6.6408333333333331</v>
      </c>
    </row>
    <row r="116" spans="1:53" x14ac:dyDescent="0.3">
      <c r="A116" s="5">
        <v>75694226159</v>
      </c>
      <c r="B116" s="6">
        <v>45878</v>
      </c>
      <c r="C116" s="11">
        <v>0.44540509259259259</v>
      </c>
      <c r="D116" s="5" t="s">
        <v>30</v>
      </c>
      <c r="E116" s="11"/>
      <c r="F116" s="11"/>
      <c r="G116" s="5" t="s">
        <v>18</v>
      </c>
      <c r="H116" s="5" t="s">
        <v>18</v>
      </c>
      <c r="I116" s="5" t="s">
        <v>19</v>
      </c>
      <c r="J116" s="5">
        <v>7353993484</v>
      </c>
      <c r="K116" s="5" t="s">
        <v>323</v>
      </c>
      <c r="L116" s="5" t="s">
        <v>324</v>
      </c>
      <c r="M116" s="5" t="s">
        <v>82</v>
      </c>
      <c r="N116" s="5" t="s">
        <v>63</v>
      </c>
      <c r="O116" s="5">
        <v>8</v>
      </c>
      <c r="P116" s="5" t="s">
        <v>34</v>
      </c>
      <c r="Q116" s="5" t="s">
        <v>60</v>
      </c>
      <c r="U116" s="5">
        <v>75636791759</v>
      </c>
      <c r="V116" s="11">
        <v>45896</v>
      </c>
      <c r="W116" s="11">
        <v>0.54325231481481484</v>
      </c>
      <c r="X116" s="5">
        <f t="shared" si="10"/>
        <v>8</v>
      </c>
      <c r="Y116" s="5">
        <f t="shared" si="14"/>
        <v>35</v>
      </c>
      <c r="Z116" s="5">
        <f t="shared" si="15"/>
        <v>27</v>
      </c>
      <c r="AA116" s="5">
        <f t="shared" si="16"/>
        <v>4</v>
      </c>
      <c r="AB116" s="5" t="str">
        <f t="shared" si="17"/>
        <v>13 - 14 hr</v>
      </c>
      <c r="AC116" s="5" t="s">
        <v>26</v>
      </c>
      <c r="AD116" s="11">
        <v>45904</v>
      </c>
      <c r="AE116" s="11">
        <v>0.67366898148148147</v>
      </c>
      <c r="AF116" s="5" t="s">
        <v>18</v>
      </c>
      <c r="AG116" s="5" t="s">
        <v>18</v>
      </c>
      <c r="AH116" s="5" t="s">
        <v>49</v>
      </c>
      <c r="AI116" s="5">
        <v>9309011435</v>
      </c>
      <c r="AJ116" s="5" t="s">
        <v>311</v>
      </c>
      <c r="AK116" s="5" t="s">
        <v>312</v>
      </c>
      <c r="AL116" s="5" t="s">
        <v>22</v>
      </c>
      <c r="AM116" s="5" t="s">
        <v>86</v>
      </c>
      <c r="AN116" s="5">
        <v>7</v>
      </c>
      <c r="AO116" s="5" t="s">
        <v>24</v>
      </c>
      <c r="AP116" s="5" t="s">
        <v>25</v>
      </c>
      <c r="AQ116" s="5">
        <f t="shared" si="11"/>
        <v>195.13000000000466</v>
      </c>
      <c r="AR116" s="5">
        <f t="shared" si="12"/>
        <v>8.1300000000000008</v>
      </c>
      <c r="AS116" s="5" t="str">
        <f t="shared" si="13"/>
        <v>9-12 days</v>
      </c>
      <c r="AT116" s="5" t="str">
        <f t="shared" ca="1" si="18"/>
        <v>STATUS-COMPLETE</v>
      </c>
      <c r="AU116" s="5" t="str">
        <f t="shared" ca="1" si="19"/>
        <v>STATUS-COMPLETE</v>
      </c>
      <c r="AZ116" s="3" t="s">
        <v>86</v>
      </c>
      <c r="BA116" s="12">
        <v>6.1714285714285708</v>
      </c>
    </row>
    <row r="117" spans="1:53" x14ac:dyDescent="0.3">
      <c r="A117" s="5">
        <v>75696311802</v>
      </c>
      <c r="B117" s="6">
        <v>45887</v>
      </c>
      <c r="C117" s="11">
        <v>0.63854166666666667</v>
      </c>
      <c r="D117" s="5" t="s">
        <v>17</v>
      </c>
      <c r="E117" s="11">
        <v>45895</v>
      </c>
      <c r="F117" s="11">
        <v>0.46122685185185186</v>
      </c>
      <c r="G117" s="5" t="s">
        <v>18</v>
      </c>
      <c r="H117" s="5" t="s">
        <v>18</v>
      </c>
      <c r="I117" s="5" t="s">
        <v>49</v>
      </c>
      <c r="J117" s="5">
        <v>8551019709</v>
      </c>
      <c r="K117" s="5" t="s">
        <v>291</v>
      </c>
      <c r="L117" s="5" t="s">
        <v>218</v>
      </c>
      <c r="M117" s="5" t="s">
        <v>29</v>
      </c>
      <c r="N117" s="5" t="s">
        <v>66</v>
      </c>
      <c r="O117" s="5">
        <v>4</v>
      </c>
      <c r="P117" s="5" t="s">
        <v>24</v>
      </c>
      <c r="Q117" s="5" t="s">
        <v>25</v>
      </c>
      <c r="U117" s="5">
        <v>75550337960</v>
      </c>
      <c r="V117" s="11">
        <v>45896</v>
      </c>
      <c r="W117" s="11">
        <v>0.44289351851851849</v>
      </c>
      <c r="X117" s="5">
        <f t="shared" si="10"/>
        <v>8</v>
      </c>
      <c r="Y117" s="5">
        <f t="shared" si="14"/>
        <v>35</v>
      </c>
      <c r="Z117" s="5">
        <f t="shared" si="15"/>
        <v>27</v>
      </c>
      <c r="AA117" s="5">
        <f t="shared" si="16"/>
        <v>4</v>
      </c>
      <c r="AB117" s="5" t="str">
        <f t="shared" si="17"/>
        <v>10 - 11 hr</v>
      </c>
      <c r="AC117" s="5" t="s">
        <v>55</v>
      </c>
      <c r="AD117" s="11">
        <v>45904</v>
      </c>
      <c r="AE117" s="11">
        <v>0.50413194444444442</v>
      </c>
      <c r="AF117" s="5" t="s">
        <v>18</v>
      </c>
      <c r="AG117" s="5" t="s">
        <v>18</v>
      </c>
      <c r="AH117" s="5" t="s">
        <v>36</v>
      </c>
      <c r="AI117" s="5">
        <v>8509834067</v>
      </c>
      <c r="AJ117" s="5" t="s">
        <v>329</v>
      </c>
      <c r="AK117" s="5" t="s">
        <v>197</v>
      </c>
      <c r="AL117" s="5" t="s">
        <v>22</v>
      </c>
      <c r="AM117" s="5" t="s">
        <v>39</v>
      </c>
      <c r="AN117" s="5">
        <v>2</v>
      </c>
      <c r="AO117" s="5" t="s">
        <v>24</v>
      </c>
      <c r="AP117" s="5" t="s">
        <v>25</v>
      </c>
      <c r="AQ117" s="5">
        <f t="shared" si="11"/>
        <v>193.46972222212935</v>
      </c>
      <c r="AR117" s="5">
        <f t="shared" si="12"/>
        <v>8.06</v>
      </c>
      <c r="AS117" s="5" t="str">
        <f t="shared" si="13"/>
        <v>9-12 days</v>
      </c>
      <c r="AT117" s="5" t="str">
        <f t="shared" ca="1" si="18"/>
        <v>STATUS-COMPLETE</v>
      </c>
      <c r="AU117" s="5" t="str">
        <f t="shared" ca="1" si="19"/>
        <v>STATUS-COMPLETE</v>
      </c>
      <c r="AZ117" s="3" t="s">
        <v>203</v>
      </c>
      <c r="BA117" s="12">
        <v>6.1458333333333348</v>
      </c>
    </row>
    <row r="118" spans="1:53" x14ac:dyDescent="0.3">
      <c r="A118" s="5">
        <v>75697928718</v>
      </c>
      <c r="B118" s="6">
        <v>45897</v>
      </c>
      <c r="C118" s="11">
        <v>0.4299189814814815</v>
      </c>
      <c r="D118" s="5" t="s">
        <v>46</v>
      </c>
      <c r="E118" s="11">
        <v>45899</v>
      </c>
      <c r="F118" s="11">
        <v>0.73239583333333336</v>
      </c>
      <c r="G118" s="5" t="s">
        <v>18</v>
      </c>
      <c r="H118" s="5" t="s">
        <v>18</v>
      </c>
      <c r="I118" s="5" t="s">
        <v>49</v>
      </c>
      <c r="J118" s="5">
        <v>7872726570</v>
      </c>
      <c r="K118" s="5" t="s">
        <v>333</v>
      </c>
      <c r="L118" s="5" t="s">
        <v>334</v>
      </c>
      <c r="M118" s="5" t="s">
        <v>82</v>
      </c>
      <c r="N118" s="5" t="s">
        <v>86</v>
      </c>
      <c r="O118" s="5">
        <v>3</v>
      </c>
      <c r="P118" s="5" t="s">
        <v>24</v>
      </c>
      <c r="Q118" s="5" t="s">
        <v>25</v>
      </c>
      <c r="U118" s="5">
        <v>75719331516</v>
      </c>
      <c r="V118" s="11">
        <v>45896</v>
      </c>
      <c r="W118" s="11">
        <v>0.50420138888888888</v>
      </c>
      <c r="X118" s="5">
        <f t="shared" si="10"/>
        <v>8</v>
      </c>
      <c r="Y118" s="5">
        <f t="shared" si="14"/>
        <v>35</v>
      </c>
      <c r="Z118" s="5">
        <f t="shared" si="15"/>
        <v>27</v>
      </c>
      <c r="AA118" s="5">
        <f t="shared" si="16"/>
        <v>4</v>
      </c>
      <c r="AB118" s="5" t="str">
        <f t="shared" si="17"/>
        <v>12 - 13 hr</v>
      </c>
      <c r="AC118" s="5" t="s">
        <v>55</v>
      </c>
      <c r="AD118" s="11">
        <v>45908</v>
      </c>
      <c r="AE118" s="11">
        <v>0.71993055555555552</v>
      </c>
      <c r="AF118" s="5" t="s">
        <v>18</v>
      </c>
      <c r="AG118" s="5" t="s">
        <v>18</v>
      </c>
      <c r="AH118" s="5" t="s">
        <v>27</v>
      </c>
      <c r="AI118" s="5">
        <v>9455732633</v>
      </c>
      <c r="AJ118" s="5" t="s">
        <v>373</v>
      </c>
      <c r="AK118" s="5" t="s">
        <v>374</v>
      </c>
      <c r="AL118" s="5" t="s">
        <v>33</v>
      </c>
      <c r="AM118" s="5" t="s">
        <v>72</v>
      </c>
      <c r="AN118" s="5">
        <v>1</v>
      </c>
      <c r="AO118" s="5" t="s">
        <v>24</v>
      </c>
      <c r="AP118" s="5" t="s">
        <v>25</v>
      </c>
      <c r="AQ118" s="5">
        <f t="shared" si="11"/>
        <v>293.17749999999069</v>
      </c>
      <c r="AR118" s="5">
        <f t="shared" si="12"/>
        <v>12.22</v>
      </c>
      <c r="AS118" s="5" t="str">
        <f t="shared" si="13"/>
        <v>9-12 days</v>
      </c>
      <c r="AT118" s="5" t="str">
        <f t="shared" ca="1" si="18"/>
        <v>STATUS-COMPLETE</v>
      </c>
      <c r="AU118" s="5" t="str">
        <f t="shared" ca="1" si="19"/>
        <v>STATUS-COMPLETE</v>
      </c>
      <c r="AZ118" s="3" t="s">
        <v>76</v>
      </c>
      <c r="BA118" s="12">
        <v>6.1290909090909089</v>
      </c>
    </row>
    <row r="119" spans="1:53" x14ac:dyDescent="0.3">
      <c r="A119" s="5">
        <v>75703932500</v>
      </c>
      <c r="B119" s="6">
        <v>45895</v>
      </c>
      <c r="C119" s="11">
        <v>0.64553240740740736</v>
      </c>
      <c r="D119" s="5" t="s">
        <v>78</v>
      </c>
      <c r="E119" s="11"/>
      <c r="F119" s="11"/>
      <c r="G119" s="5" t="s">
        <v>18</v>
      </c>
      <c r="H119" s="5" t="s">
        <v>18</v>
      </c>
      <c r="I119" s="5" t="s">
        <v>27</v>
      </c>
      <c r="J119" s="5">
        <v>8324663629</v>
      </c>
      <c r="K119" s="5" t="s">
        <v>272</v>
      </c>
      <c r="L119" s="5" t="s">
        <v>253</v>
      </c>
      <c r="M119" s="5" t="s">
        <v>33</v>
      </c>
      <c r="N119" s="5" t="s">
        <v>76</v>
      </c>
      <c r="O119" s="5">
        <v>6</v>
      </c>
      <c r="P119" s="5" t="s">
        <v>34</v>
      </c>
      <c r="Q119" s="5" t="s">
        <v>35</v>
      </c>
      <c r="U119" s="5">
        <v>75570894498</v>
      </c>
      <c r="V119" s="11">
        <v>45897</v>
      </c>
      <c r="W119" s="11">
        <v>0.87187499999999996</v>
      </c>
      <c r="X119" s="5">
        <f t="shared" si="10"/>
        <v>8</v>
      </c>
      <c r="Y119" s="5">
        <f t="shared" si="14"/>
        <v>35</v>
      </c>
      <c r="Z119" s="5">
        <f t="shared" si="15"/>
        <v>28</v>
      </c>
      <c r="AA119" s="5">
        <f t="shared" si="16"/>
        <v>5</v>
      </c>
      <c r="AB119" s="5" t="str">
        <f t="shared" si="17"/>
        <v>20 - 21 hr</v>
      </c>
      <c r="AC119" s="5" t="s">
        <v>48</v>
      </c>
      <c r="AD119" s="11"/>
      <c r="AE119" s="11"/>
      <c r="AF119" s="5" t="s">
        <v>18</v>
      </c>
      <c r="AG119" s="5" t="s">
        <v>18</v>
      </c>
      <c r="AH119" s="5" t="s">
        <v>49</v>
      </c>
      <c r="AI119" s="5">
        <v>8113219231</v>
      </c>
      <c r="AJ119" s="5" t="s">
        <v>50</v>
      </c>
      <c r="AK119" s="5" t="s">
        <v>51</v>
      </c>
      <c r="AL119" s="5" t="s">
        <v>29</v>
      </c>
      <c r="AM119" s="5" t="s">
        <v>52</v>
      </c>
      <c r="AN119" s="5">
        <v>3</v>
      </c>
      <c r="AO119" s="5" t="s">
        <v>34</v>
      </c>
      <c r="AP119" s="5" t="s">
        <v>35</v>
      </c>
      <c r="AQ119" s="5" t="str">
        <f t="shared" si="11"/>
        <v>Issue_pending</v>
      </c>
      <c r="AR119" s="5" t="str">
        <f t="shared" si="12"/>
        <v>Issue_pending</v>
      </c>
      <c r="AS119" s="5" t="str">
        <f t="shared" si="13"/>
        <v>Issue_pending</v>
      </c>
      <c r="AT119" s="5">
        <f t="shared" ca="1" si="18"/>
        <v>33</v>
      </c>
      <c r="AU119" s="5" t="str">
        <f t="shared" ca="1" si="19"/>
        <v>&gt;20 days</v>
      </c>
      <c r="AZ119" s="3" t="s">
        <v>142</v>
      </c>
      <c r="BA119" s="12">
        <v>5.4569999999999999</v>
      </c>
    </row>
    <row r="120" spans="1:53" x14ac:dyDescent="0.3">
      <c r="A120" s="5">
        <v>75706090918</v>
      </c>
      <c r="B120" s="6">
        <v>45880</v>
      </c>
      <c r="C120" s="11">
        <v>0.39170138888888889</v>
      </c>
      <c r="D120" s="5" t="s">
        <v>95</v>
      </c>
      <c r="E120" s="11"/>
      <c r="F120" s="11"/>
      <c r="G120" s="5" t="s">
        <v>18</v>
      </c>
      <c r="H120" s="5" t="s">
        <v>18</v>
      </c>
      <c r="I120" s="5" t="s">
        <v>36</v>
      </c>
      <c r="J120" s="5">
        <v>9457829635</v>
      </c>
      <c r="K120" s="5" t="s">
        <v>387</v>
      </c>
      <c r="L120" s="5" t="s">
        <v>237</v>
      </c>
      <c r="M120" s="5" t="s">
        <v>22</v>
      </c>
      <c r="N120" s="5" t="s">
        <v>39</v>
      </c>
      <c r="O120" s="5">
        <v>9</v>
      </c>
      <c r="P120" s="5" t="s">
        <v>34</v>
      </c>
      <c r="Q120" s="5" t="s">
        <v>60</v>
      </c>
      <c r="U120" s="5">
        <v>75882896428</v>
      </c>
      <c r="V120" s="11">
        <v>45897</v>
      </c>
      <c r="W120" s="11">
        <v>0.55758101851851849</v>
      </c>
      <c r="X120" s="5">
        <f t="shared" si="10"/>
        <v>8</v>
      </c>
      <c r="Y120" s="5">
        <f t="shared" si="14"/>
        <v>35</v>
      </c>
      <c r="Z120" s="5">
        <f t="shared" si="15"/>
        <v>28</v>
      </c>
      <c r="AA120" s="5">
        <f t="shared" si="16"/>
        <v>5</v>
      </c>
      <c r="AB120" s="5" t="str">
        <f t="shared" si="17"/>
        <v>13 - 14 hr</v>
      </c>
      <c r="AC120" s="5" t="s">
        <v>17</v>
      </c>
      <c r="AD120" s="11">
        <v>45908</v>
      </c>
      <c r="AE120" s="11">
        <v>0.51383101851851853</v>
      </c>
      <c r="AF120" s="5" t="s">
        <v>18</v>
      </c>
      <c r="AG120" s="5" t="s">
        <v>18</v>
      </c>
      <c r="AH120" s="5" t="s">
        <v>27</v>
      </c>
      <c r="AI120" s="5">
        <v>8885790857</v>
      </c>
      <c r="AJ120" s="5" t="s">
        <v>314</v>
      </c>
      <c r="AK120" s="5" t="s">
        <v>119</v>
      </c>
      <c r="AL120" s="5" t="s">
        <v>22</v>
      </c>
      <c r="AM120" s="5" t="s">
        <v>116</v>
      </c>
      <c r="AN120" s="5">
        <v>7</v>
      </c>
      <c r="AO120" s="5" t="s">
        <v>24</v>
      </c>
      <c r="AP120" s="5" t="s">
        <v>25</v>
      </c>
      <c r="AQ120" s="5">
        <f t="shared" si="11"/>
        <v>262.95000000006985</v>
      </c>
      <c r="AR120" s="5">
        <f t="shared" si="12"/>
        <v>10.96</v>
      </c>
      <c r="AS120" s="5" t="str">
        <f t="shared" si="13"/>
        <v>9-12 days</v>
      </c>
      <c r="AT120" s="5" t="str">
        <f t="shared" ca="1" si="18"/>
        <v>STATUS-COMPLETE</v>
      </c>
      <c r="AU120" s="5" t="str">
        <f t="shared" ca="1" si="19"/>
        <v>STATUS-COMPLETE</v>
      </c>
      <c r="AZ120" s="3" t="s">
        <v>116</v>
      </c>
      <c r="BA120" s="12">
        <v>5.2981818181818179</v>
      </c>
    </row>
    <row r="121" spans="1:53" x14ac:dyDescent="0.3">
      <c r="A121" s="5">
        <v>75709893263</v>
      </c>
      <c r="B121" s="6">
        <v>45884</v>
      </c>
      <c r="C121" s="11">
        <v>0.67186342592592596</v>
      </c>
      <c r="D121" s="5" t="s">
        <v>30</v>
      </c>
      <c r="E121" s="11">
        <v>45889</v>
      </c>
      <c r="F121" s="11">
        <v>0.46114583333333331</v>
      </c>
      <c r="G121" s="5" t="s">
        <v>18</v>
      </c>
      <c r="H121" s="5" t="s">
        <v>18</v>
      </c>
      <c r="I121" s="5" t="s">
        <v>19</v>
      </c>
      <c r="J121" s="5">
        <v>8728760924</v>
      </c>
      <c r="K121" s="5" t="s">
        <v>99</v>
      </c>
      <c r="L121" s="5" t="s">
        <v>54</v>
      </c>
      <c r="M121" s="5" t="s">
        <v>82</v>
      </c>
      <c r="N121" s="5" t="s">
        <v>42</v>
      </c>
      <c r="O121" s="5">
        <v>3</v>
      </c>
      <c r="P121" s="5" t="s">
        <v>24</v>
      </c>
      <c r="Q121" s="5" t="s">
        <v>25</v>
      </c>
      <c r="U121" s="5">
        <v>75697928718</v>
      </c>
      <c r="V121" s="11">
        <v>45897</v>
      </c>
      <c r="W121" s="11">
        <v>0.4299189814814815</v>
      </c>
      <c r="X121" s="5">
        <f t="shared" si="10"/>
        <v>8</v>
      </c>
      <c r="Y121" s="5">
        <f t="shared" si="14"/>
        <v>35</v>
      </c>
      <c r="Z121" s="5">
        <f t="shared" si="15"/>
        <v>28</v>
      </c>
      <c r="AA121" s="5">
        <f t="shared" si="16"/>
        <v>5</v>
      </c>
      <c r="AB121" s="5" t="str">
        <f t="shared" si="17"/>
        <v>10 - 11 hr</v>
      </c>
      <c r="AC121" s="5" t="s">
        <v>46</v>
      </c>
      <c r="AD121" s="11">
        <v>45899</v>
      </c>
      <c r="AE121" s="11">
        <v>0.73239583333333336</v>
      </c>
      <c r="AF121" s="5" t="s">
        <v>18</v>
      </c>
      <c r="AG121" s="5" t="s">
        <v>18</v>
      </c>
      <c r="AH121" s="5" t="s">
        <v>49</v>
      </c>
      <c r="AI121" s="5">
        <v>7872726570</v>
      </c>
      <c r="AJ121" s="5" t="s">
        <v>333</v>
      </c>
      <c r="AK121" s="5" t="s">
        <v>334</v>
      </c>
      <c r="AL121" s="5" t="s">
        <v>82</v>
      </c>
      <c r="AM121" s="5" t="s">
        <v>86</v>
      </c>
      <c r="AN121" s="5">
        <v>3</v>
      </c>
      <c r="AO121" s="5" t="s">
        <v>24</v>
      </c>
      <c r="AP121" s="5" t="s">
        <v>25</v>
      </c>
      <c r="AQ121" s="5">
        <f t="shared" si="11"/>
        <v>55.259444444440305</v>
      </c>
      <c r="AR121" s="5">
        <f t="shared" si="12"/>
        <v>2.2999999999999998</v>
      </c>
      <c r="AS121" s="5" t="str">
        <f t="shared" si="13"/>
        <v>1-4 days</v>
      </c>
      <c r="AT121" s="5" t="str">
        <f t="shared" ca="1" si="18"/>
        <v>STATUS-COMPLETE</v>
      </c>
      <c r="AU121" s="5" t="str">
        <f t="shared" ca="1" si="19"/>
        <v>STATUS-COMPLETE</v>
      </c>
      <c r="AZ121" s="3" t="s">
        <v>392</v>
      </c>
      <c r="BA121" s="64">
        <v>6.7445569620253183</v>
      </c>
    </row>
    <row r="122" spans="1:53" x14ac:dyDescent="0.3">
      <c r="A122" s="5">
        <v>75715001254</v>
      </c>
      <c r="B122" s="6">
        <v>45898</v>
      </c>
      <c r="C122" s="11">
        <v>0.59961805555555558</v>
      </c>
      <c r="D122" s="5" t="s">
        <v>95</v>
      </c>
      <c r="E122" s="11">
        <v>45903</v>
      </c>
      <c r="F122" s="11">
        <v>0.37662037037037038</v>
      </c>
      <c r="G122" s="5" t="s">
        <v>18</v>
      </c>
      <c r="H122" s="5" t="s">
        <v>18</v>
      </c>
      <c r="I122" s="5" t="s">
        <v>27</v>
      </c>
      <c r="J122" s="5">
        <v>8048819999</v>
      </c>
      <c r="K122" s="5" t="s">
        <v>122</v>
      </c>
      <c r="L122" s="5" t="s">
        <v>123</v>
      </c>
      <c r="M122" s="5" t="s">
        <v>22</v>
      </c>
      <c r="N122" s="5" t="s">
        <v>76</v>
      </c>
      <c r="O122" s="5">
        <v>5</v>
      </c>
      <c r="P122" s="5" t="s">
        <v>24</v>
      </c>
      <c r="Q122" s="5" t="s">
        <v>25</v>
      </c>
      <c r="U122" s="5">
        <v>75431656371</v>
      </c>
      <c r="V122" s="11">
        <v>45897</v>
      </c>
      <c r="W122" s="11">
        <v>0.65517361111111116</v>
      </c>
      <c r="X122" s="5">
        <f t="shared" si="10"/>
        <v>8</v>
      </c>
      <c r="Y122" s="5">
        <f t="shared" si="14"/>
        <v>35</v>
      </c>
      <c r="Z122" s="5">
        <f t="shared" si="15"/>
        <v>28</v>
      </c>
      <c r="AA122" s="5">
        <f t="shared" si="16"/>
        <v>5</v>
      </c>
      <c r="AB122" s="5" t="str">
        <f t="shared" si="17"/>
        <v>15 - 16 hr</v>
      </c>
      <c r="AC122" s="5" t="s">
        <v>95</v>
      </c>
      <c r="AD122" s="11"/>
      <c r="AE122" s="11"/>
      <c r="AF122" s="5" t="s">
        <v>18</v>
      </c>
      <c r="AG122" s="5" t="s">
        <v>18</v>
      </c>
      <c r="AH122" s="5" t="s">
        <v>27</v>
      </c>
      <c r="AI122" s="5">
        <v>8520174713</v>
      </c>
      <c r="AJ122" s="5" t="s">
        <v>355</v>
      </c>
      <c r="AK122" s="5" t="s">
        <v>263</v>
      </c>
      <c r="AL122" s="5" t="s">
        <v>29</v>
      </c>
      <c r="AM122" s="5" t="s">
        <v>72</v>
      </c>
      <c r="AN122" s="5">
        <v>5</v>
      </c>
      <c r="AO122" s="5" t="s">
        <v>34</v>
      </c>
      <c r="AP122" s="5" t="s">
        <v>60</v>
      </c>
      <c r="AQ122" s="5" t="str">
        <f t="shared" si="11"/>
        <v>Issue_pending</v>
      </c>
      <c r="AR122" s="5" t="str">
        <f t="shared" si="12"/>
        <v>Issue_pending</v>
      </c>
      <c r="AS122" s="5" t="str">
        <f t="shared" si="13"/>
        <v>Issue_pending</v>
      </c>
      <c r="AT122" s="5">
        <f t="shared" ca="1" si="18"/>
        <v>33</v>
      </c>
      <c r="AU122" s="5" t="str">
        <f t="shared" ca="1" si="19"/>
        <v>&gt;20 days</v>
      </c>
    </row>
    <row r="123" spans="1:53" x14ac:dyDescent="0.3">
      <c r="A123" s="5">
        <v>75716872439</v>
      </c>
      <c r="B123" s="6">
        <v>45872</v>
      </c>
      <c r="C123" s="11">
        <v>0.61627314814814815</v>
      </c>
      <c r="D123" s="5" t="s">
        <v>95</v>
      </c>
      <c r="E123" s="11">
        <v>45880</v>
      </c>
      <c r="F123" s="11">
        <v>0.40096064814814814</v>
      </c>
      <c r="G123" s="5" t="s">
        <v>18</v>
      </c>
      <c r="H123" s="5" t="s">
        <v>18</v>
      </c>
      <c r="I123" s="5" t="s">
        <v>27</v>
      </c>
      <c r="J123" s="5">
        <v>7862407093</v>
      </c>
      <c r="K123" s="5" t="s">
        <v>130</v>
      </c>
      <c r="L123" s="5" t="s">
        <v>54</v>
      </c>
      <c r="M123" s="5" t="s">
        <v>82</v>
      </c>
      <c r="N123" s="5" t="s">
        <v>42</v>
      </c>
      <c r="O123" s="5">
        <v>6</v>
      </c>
      <c r="P123" s="5" t="s">
        <v>24</v>
      </c>
      <c r="Q123" s="5" t="s">
        <v>25</v>
      </c>
      <c r="U123" s="5">
        <v>75715001254</v>
      </c>
      <c r="V123" s="11">
        <v>45898</v>
      </c>
      <c r="W123" s="11">
        <v>0.59961805555555558</v>
      </c>
      <c r="X123" s="5">
        <f t="shared" si="10"/>
        <v>8</v>
      </c>
      <c r="Y123" s="5">
        <f t="shared" si="14"/>
        <v>35</v>
      </c>
      <c r="Z123" s="5">
        <f t="shared" si="15"/>
        <v>29</v>
      </c>
      <c r="AA123" s="5">
        <f t="shared" si="16"/>
        <v>6</v>
      </c>
      <c r="AB123" s="5" t="str">
        <f t="shared" si="17"/>
        <v>14 - 15 hr</v>
      </c>
      <c r="AC123" s="5" t="s">
        <v>95</v>
      </c>
      <c r="AD123" s="11">
        <v>45903</v>
      </c>
      <c r="AE123" s="11">
        <v>0.37662037037037038</v>
      </c>
      <c r="AF123" s="5" t="s">
        <v>18</v>
      </c>
      <c r="AG123" s="5" t="s">
        <v>18</v>
      </c>
      <c r="AH123" s="5" t="s">
        <v>27</v>
      </c>
      <c r="AI123" s="5">
        <v>8048819999</v>
      </c>
      <c r="AJ123" s="5" t="s">
        <v>122</v>
      </c>
      <c r="AK123" s="5" t="s">
        <v>123</v>
      </c>
      <c r="AL123" s="5" t="s">
        <v>22</v>
      </c>
      <c r="AM123" s="5" t="s">
        <v>76</v>
      </c>
      <c r="AN123" s="5">
        <v>5</v>
      </c>
      <c r="AO123" s="5" t="s">
        <v>24</v>
      </c>
      <c r="AP123" s="5" t="s">
        <v>25</v>
      </c>
      <c r="AQ123" s="5">
        <f t="shared" si="11"/>
        <v>114.64805555564817</v>
      </c>
      <c r="AR123" s="5">
        <f t="shared" si="12"/>
        <v>4.78</v>
      </c>
      <c r="AS123" s="5" t="str">
        <f t="shared" si="13"/>
        <v>5-8 days</v>
      </c>
      <c r="AT123" s="5" t="str">
        <f t="shared" ca="1" si="18"/>
        <v>STATUS-COMPLETE</v>
      </c>
      <c r="AU123" s="5" t="str">
        <f t="shared" ca="1" si="19"/>
        <v>STATUS-COMPLETE</v>
      </c>
    </row>
    <row r="124" spans="1:53" x14ac:dyDescent="0.3">
      <c r="A124" s="5">
        <v>75716960306</v>
      </c>
      <c r="B124" s="6">
        <v>45905</v>
      </c>
      <c r="C124" s="11">
        <v>0.46690972222222221</v>
      </c>
      <c r="D124" s="5" t="s">
        <v>26</v>
      </c>
      <c r="E124" s="11"/>
      <c r="F124" s="11"/>
      <c r="G124" s="5" t="s">
        <v>18</v>
      </c>
      <c r="H124" s="5" t="s">
        <v>18</v>
      </c>
      <c r="I124" s="5" t="s">
        <v>49</v>
      </c>
      <c r="J124" s="5">
        <v>8631399401</v>
      </c>
      <c r="K124" s="5" t="s">
        <v>274</v>
      </c>
      <c r="L124" s="5" t="s">
        <v>244</v>
      </c>
      <c r="M124" s="5" t="s">
        <v>29</v>
      </c>
      <c r="N124" s="5" t="s">
        <v>66</v>
      </c>
      <c r="O124" s="5">
        <v>2</v>
      </c>
      <c r="P124" s="5" t="s">
        <v>34</v>
      </c>
      <c r="Q124" s="5" t="s">
        <v>35</v>
      </c>
      <c r="U124" s="5">
        <v>75547848992</v>
      </c>
      <c r="V124" s="11">
        <v>45898</v>
      </c>
      <c r="W124" s="11">
        <v>0.7245949074074074</v>
      </c>
      <c r="X124" s="5">
        <f t="shared" si="10"/>
        <v>8</v>
      </c>
      <c r="Y124" s="5">
        <f t="shared" si="14"/>
        <v>35</v>
      </c>
      <c r="Z124" s="5">
        <f t="shared" si="15"/>
        <v>29</v>
      </c>
      <c r="AA124" s="5">
        <f t="shared" si="16"/>
        <v>6</v>
      </c>
      <c r="AB124" s="5" t="str">
        <f t="shared" si="17"/>
        <v>17 - 18 hr</v>
      </c>
      <c r="AC124" s="5" t="s">
        <v>78</v>
      </c>
      <c r="AD124" s="11"/>
      <c r="AE124" s="11"/>
      <c r="AF124" s="5" t="s">
        <v>18</v>
      </c>
      <c r="AG124" s="5" t="s">
        <v>18</v>
      </c>
      <c r="AH124" s="5" t="s">
        <v>27</v>
      </c>
      <c r="AI124" s="5">
        <v>8555424924</v>
      </c>
      <c r="AJ124" s="5" t="s">
        <v>206</v>
      </c>
      <c r="AK124" s="5" t="s">
        <v>165</v>
      </c>
      <c r="AL124" s="5" t="s">
        <v>29</v>
      </c>
      <c r="AM124" s="5" t="s">
        <v>23</v>
      </c>
      <c r="AN124" s="5">
        <v>2</v>
      </c>
      <c r="AO124" s="5" t="s">
        <v>34</v>
      </c>
      <c r="AP124" s="5" t="s">
        <v>60</v>
      </c>
      <c r="AQ124" s="5" t="str">
        <f t="shared" si="11"/>
        <v>Issue_pending</v>
      </c>
      <c r="AR124" s="5" t="str">
        <f t="shared" si="12"/>
        <v>Issue_pending</v>
      </c>
      <c r="AS124" s="5" t="str">
        <f t="shared" si="13"/>
        <v>Issue_pending</v>
      </c>
      <c r="AT124" s="5">
        <f t="shared" ca="1" si="18"/>
        <v>32</v>
      </c>
      <c r="AU124" s="5" t="str">
        <f t="shared" ca="1" si="19"/>
        <v>&gt;20 days</v>
      </c>
    </row>
    <row r="125" spans="1:53" x14ac:dyDescent="0.3">
      <c r="A125" s="5">
        <v>75717001612</v>
      </c>
      <c r="B125" s="6">
        <v>45900</v>
      </c>
      <c r="C125" s="11">
        <v>0.41229166666666667</v>
      </c>
      <c r="D125" s="5" t="s">
        <v>55</v>
      </c>
      <c r="E125" s="11">
        <v>45907</v>
      </c>
      <c r="F125" s="11">
        <v>0.76569444444444446</v>
      </c>
      <c r="G125" s="5" t="s">
        <v>18</v>
      </c>
      <c r="H125" s="5" t="s">
        <v>18</v>
      </c>
      <c r="I125" s="5" t="s">
        <v>49</v>
      </c>
      <c r="J125" s="5">
        <v>8178884276</v>
      </c>
      <c r="K125" s="5" t="s">
        <v>127</v>
      </c>
      <c r="L125" s="5" t="s">
        <v>101</v>
      </c>
      <c r="M125" s="5" t="s">
        <v>33</v>
      </c>
      <c r="N125" s="5" t="s">
        <v>102</v>
      </c>
      <c r="O125" s="5">
        <v>8</v>
      </c>
      <c r="P125" s="5" t="s">
        <v>24</v>
      </c>
      <c r="Q125" s="5" t="s">
        <v>25</v>
      </c>
      <c r="U125" s="5">
        <v>75459738492</v>
      </c>
      <c r="V125" s="11">
        <v>45898</v>
      </c>
      <c r="W125" s="11">
        <v>0.67259259259259263</v>
      </c>
      <c r="X125" s="5">
        <f t="shared" si="10"/>
        <v>8</v>
      </c>
      <c r="Y125" s="5">
        <f t="shared" si="14"/>
        <v>35</v>
      </c>
      <c r="Z125" s="5">
        <f t="shared" si="15"/>
        <v>29</v>
      </c>
      <c r="AA125" s="5">
        <f t="shared" si="16"/>
        <v>6</v>
      </c>
      <c r="AB125" s="5" t="str">
        <f t="shared" si="17"/>
        <v>16 - 17 hr</v>
      </c>
      <c r="AC125" s="5" t="s">
        <v>55</v>
      </c>
      <c r="AD125" s="11">
        <v>45902</v>
      </c>
      <c r="AE125" s="11">
        <v>0.77158564814814812</v>
      </c>
      <c r="AF125" s="5" t="s">
        <v>18</v>
      </c>
      <c r="AG125" s="5" t="s">
        <v>18</v>
      </c>
      <c r="AH125" s="5" t="s">
        <v>49</v>
      </c>
      <c r="AI125" s="5">
        <v>8961934510</v>
      </c>
      <c r="AJ125" s="5" t="s">
        <v>255</v>
      </c>
      <c r="AK125" s="5" t="s">
        <v>218</v>
      </c>
      <c r="AL125" s="5" t="s">
        <v>29</v>
      </c>
      <c r="AM125" s="5" t="s">
        <v>66</v>
      </c>
      <c r="AN125" s="5">
        <v>1</v>
      </c>
      <c r="AO125" s="5" t="s">
        <v>24</v>
      </c>
      <c r="AP125" s="5" t="s">
        <v>25</v>
      </c>
      <c r="AQ125" s="5">
        <f t="shared" si="11"/>
        <v>98.375833333237097</v>
      </c>
      <c r="AR125" s="5">
        <f t="shared" si="12"/>
        <v>4.0999999999999996</v>
      </c>
      <c r="AS125" s="5" t="str">
        <f t="shared" si="13"/>
        <v>5-8 days</v>
      </c>
      <c r="AT125" s="5" t="str">
        <f t="shared" ca="1" si="18"/>
        <v>STATUS-COMPLETE</v>
      </c>
      <c r="AU125" s="5" t="str">
        <f t="shared" ca="1" si="19"/>
        <v>STATUS-COMPLETE</v>
      </c>
    </row>
    <row r="126" spans="1:53" x14ac:dyDescent="0.3">
      <c r="A126" s="5">
        <v>75718092217</v>
      </c>
      <c r="B126" s="6">
        <v>45900</v>
      </c>
      <c r="C126" s="11">
        <v>0.51609953703703704</v>
      </c>
      <c r="D126" s="5" t="s">
        <v>30</v>
      </c>
      <c r="E126" s="11">
        <v>45910</v>
      </c>
      <c r="F126" s="11">
        <v>0.73493055555555553</v>
      </c>
      <c r="G126" s="5" t="s">
        <v>18</v>
      </c>
      <c r="H126" s="5" t="s">
        <v>18</v>
      </c>
      <c r="I126" s="5" t="s">
        <v>49</v>
      </c>
      <c r="J126" s="5">
        <v>7060766757</v>
      </c>
      <c r="K126" s="5" t="s">
        <v>87</v>
      </c>
      <c r="L126" s="5" t="s">
        <v>54</v>
      </c>
      <c r="M126" s="5" t="s">
        <v>22</v>
      </c>
      <c r="N126" s="5" t="s">
        <v>42</v>
      </c>
      <c r="O126" s="5">
        <v>6</v>
      </c>
      <c r="P126" s="5" t="s">
        <v>24</v>
      </c>
      <c r="Q126" s="5" t="s">
        <v>25</v>
      </c>
      <c r="U126" s="5">
        <v>75885242269</v>
      </c>
      <c r="V126" s="11">
        <v>45898</v>
      </c>
      <c r="W126" s="11">
        <v>0.56199074074074074</v>
      </c>
      <c r="X126" s="5">
        <f t="shared" si="10"/>
        <v>8</v>
      </c>
      <c r="Y126" s="5">
        <f t="shared" si="14"/>
        <v>35</v>
      </c>
      <c r="Z126" s="5">
        <f t="shared" si="15"/>
        <v>29</v>
      </c>
      <c r="AA126" s="5">
        <f t="shared" si="16"/>
        <v>6</v>
      </c>
      <c r="AB126" s="5" t="str">
        <f t="shared" si="17"/>
        <v>13 - 14 hr</v>
      </c>
      <c r="AC126" s="5" t="s">
        <v>17</v>
      </c>
      <c r="AD126" s="11">
        <v>45905</v>
      </c>
      <c r="AE126" s="11">
        <v>0.4405324074074074</v>
      </c>
      <c r="AF126" s="5" t="s">
        <v>18</v>
      </c>
      <c r="AG126" s="5" t="s">
        <v>18</v>
      </c>
      <c r="AH126" s="5" t="s">
        <v>36</v>
      </c>
      <c r="AI126" s="5">
        <v>7388354759</v>
      </c>
      <c r="AJ126" s="5" t="s">
        <v>350</v>
      </c>
      <c r="AK126" s="5" t="s">
        <v>229</v>
      </c>
      <c r="AL126" s="5" t="s">
        <v>82</v>
      </c>
      <c r="AM126" s="5" t="s">
        <v>39</v>
      </c>
      <c r="AN126" s="5">
        <v>3</v>
      </c>
      <c r="AO126" s="5" t="s">
        <v>24</v>
      </c>
      <c r="AP126" s="5" t="s">
        <v>25</v>
      </c>
      <c r="AQ126" s="5">
        <f t="shared" si="11"/>
        <v>165.08500000013737</v>
      </c>
      <c r="AR126" s="5">
        <f t="shared" si="12"/>
        <v>6.88</v>
      </c>
      <c r="AS126" s="5" t="str">
        <f t="shared" si="13"/>
        <v>5-8 days</v>
      </c>
      <c r="AT126" s="5" t="str">
        <f t="shared" ca="1" si="18"/>
        <v>STATUS-COMPLETE</v>
      </c>
      <c r="AU126" s="5" t="str">
        <f t="shared" ca="1" si="19"/>
        <v>STATUS-COMPLETE</v>
      </c>
    </row>
    <row r="127" spans="1:53" x14ac:dyDescent="0.3">
      <c r="A127" s="5">
        <v>75719331516</v>
      </c>
      <c r="B127" s="6">
        <v>45896</v>
      </c>
      <c r="C127" s="11">
        <v>0.50420138888888888</v>
      </c>
      <c r="D127" s="5" t="s">
        <v>55</v>
      </c>
      <c r="E127" s="11">
        <v>45908</v>
      </c>
      <c r="F127" s="11">
        <v>0.71993055555555552</v>
      </c>
      <c r="G127" s="5" t="s">
        <v>18</v>
      </c>
      <c r="H127" s="5" t="s">
        <v>18</v>
      </c>
      <c r="I127" s="5" t="s">
        <v>27</v>
      </c>
      <c r="J127" s="5">
        <v>9455732633</v>
      </c>
      <c r="K127" s="5" t="s">
        <v>373</v>
      </c>
      <c r="L127" s="5" t="s">
        <v>374</v>
      </c>
      <c r="M127" s="5" t="s">
        <v>33</v>
      </c>
      <c r="N127" s="5" t="s">
        <v>72</v>
      </c>
      <c r="O127" s="5">
        <v>1</v>
      </c>
      <c r="P127" s="5" t="s">
        <v>24</v>
      </c>
      <c r="Q127" s="5" t="s">
        <v>25</v>
      </c>
      <c r="U127" s="5">
        <v>75930833445</v>
      </c>
      <c r="V127" s="11">
        <v>45899</v>
      </c>
      <c r="W127" s="11">
        <v>0.63552083333333331</v>
      </c>
      <c r="X127" s="5">
        <f t="shared" si="10"/>
        <v>8</v>
      </c>
      <c r="Y127" s="5">
        <f t="shared" si="14"/>
        <v>35</v>
      </c>
      <c r="Z127" s="5">
        <f t="shared" si="15"/>
        <v>30</v>
      </c>
      <c r="AA127" s="5">
        <f t="shared" si="16"/>
        <v>7</v>
      </c>
      <c r="AB127" s="5" t="str">
        <f t="shared" si="17"/>
        <v>15 - 16 hr</v>
      </c>
      <c r="AC127" s="5" t="s">
        <v>43</v>
      </c>
      <c r="AD127" s="11">
        <v>45910</v>
      </c>
      <c r="AE127" s="11">
        <v>0.75885416666666672</v>
      </c>
      <c r="AF127" s="5" t="s">
        <v>18</v>
      </c>
      <c r="AG127" s="5" t="s">
        <v>18</v>
      </c>
      <c r="AH127" s="5" t="s">
        <v>36</v>
      </c>
      <c r="AI127" s="5">
        <v>7457788949</v>
      </c>
      <c r="AJ127" s="5" t="s">
        <v>44</v>
      </c>
      <c r="AK127" s="5" t="s">
        <v>45</v>
      </c>
      <c r="AL127" s="5" t="s">
        <v>29</v>
      </c>
      <c r="AM127" s="5" t="s">
        <v>39</v>
      </c>
      <c r="AN127" s="5">
        <v>2</v>
      </c>
      <c r="AO127" s="5" t="s">
        <v>24</v>
      </c>
      <c r="AP127" s="5" t="s">
        <v>25</v>
      </c>
      <c r="AQ127" s="5">
        <f t="shared" si="11"/>
        <v>266.96000000007916</v>
      </c>
      <c r="AR127" s="5">
        <f t="shared" si="12"/>
        <v>11.12</v>
      </c>
      <c r="AS127" s="5" t="str">
        <f t="shared" si="13"/>
        <v>9-12 days</v>
      </c>
      <c r="AT127" s="5" t="str">
        <f t="shared" ca="1" si="18"/>
        <v>STATUS-COMPLETE</v>
      </c>
      <c r="AU127" s="5" t="str">
        <f t="shared" ca="1" si="19"/>
        <v>STATUS-COMPLETE</v>
      </c>
    </row>
    <row r="128" spans="1:53" x14ac:dyDescent="0.3">
      <c r="A128" s="5">
        <v>75719378952</v>
      </c>
      <c r="B128" s="6">
        <v>45895</v>
      </c>
      <c r="C128" s="11">
        <v>0.77575231481481477</v>
      </c>
      <c r="D128" s="5" t="s">
        <v>95</v>
      </c>
      <c r="E128" s="11">
        <v>45901</v>
      </c>
      <c r="F128" s="11">
        <v>0.62116898148148147</v>
      </c>
      <c r="G128" s="5" t="s">
        <v>18</v>
      </c>
      <c r="H128" s="5" t="s">
        <v>18</v>
      </c>
      <c r="I128" s="5" t="s">
        <v>27</v>
      </c>
      <c r="J128" s="5">
        <v>8345122542</v>
      </c>
      <c r="K128" s="5" t="s">
        <v>307</v>
      </c>
      <c r="L128" s="5" t="s">
        <v>308</v>
      </c>
      <c r="M128" s="5" t="s">
        <v>82</v>
      </c>
      <c r="N128" s="5" t="s">
        <v>203</v>
      </c>
      <c r="O128" s="5">
        <v>4</v>
      </c>
      <c r="P128" s="5" t="s">
        <v>24</v>
      </c>
      <c r="Q128" s="5" t="s">
        <v>25</v>
      </c>
      <c r="U128" s="5">
        <v>75480346223</v>
      </c>
      <c r="V128" s="11">
        <v>45899</v>
      </c>
      <c r="W128" s="11">
        <v>0.70157407407407413</v>
      </c>
      <c r="X128" s="5">
        <f t="shared" si="10"/>
        <v>8</v>
      </c>
      <c r="Y128" s="5">
        <f t="shared" si="14"/>
        <v>35</v>
      </c>
      <c r="Z128" s="5">
        <f t="shared" si="15"/>
        <v>30</v>
      </c>
      <c r="AA128" s="5">
        <f t="shared" si="16"/>
        <v>7</v>
      </c>
      <c r="AB128" s="5" t="str">
        <f t="shared" si="17"/>
        <v>16 - 17 hr</v>
      </c>
      <c r="AC128" s="5" t="s">
        <v>78</v>
      </c>
      <c r="AD128" s="11">
        <v>45902</v>
      </c>
      <c r="AE128" s="11">
        <v>0.66366898148148146</v>
      </c>
      <c r="AF128" s="5" t="s">
        <v>18</v>
      </c>
      <c r="AG128" s="5" t="s">
        <v>18</v>
      </c>
      <c r="AH128" s="5" t="s">
        <v>27</v>
      </c>
      <c r="AI128" s="5">
        <v>9676878743</v>
      </c>
      <c r="AJ128" s="5" t="s">
        <v>118</v>
      </c>
      <c r="AK128" s="5" t="s">
        <v>119</v>
      </c>
      <c r="AL128" s="5" t="s">
        <v>82</v>
      </c>
      <c r="AM128" s="5" t="s">
        <v>116</v>
      </c>
      <c r="AN128" s="5">
        <v>7</v>
      </c>
      <c r="AO128" s="5" t="s">
        <v>24</v>
      </c>
      <c r="AP128" s="5" t="s">
        <v>25</v>
      </c>
      <c r="AQ128" s="5">
        <f t="shared" si="11"/>
        <v>71.090277777810115</v>
      </c>
      <c r="AR128" s="5">
        <f t="shared" si="12"/>
        <v>2.96</v>
      </c>
      <c r="AS128" s="5" t="str">
        <f t="shared" si="13"/>
        <v>1-4 days</v>
      </c>
      <c r="AT128" s="5" t="str">
        <f t="shared" ca="1" si="18"/>
        <v>STATUS-COMPLETE</v>
      </c>
      <c r="AU128" s="5" t="str">
        <f t="shared" ca="1" si="19"/>
        <v>STATUS-COMPLETE</v>
      </c>
    </row>
    <row r="129" spans="1:55" x14ac:dyDescent="0.3">
      <c r="A129" s="5">
        <v>75720364823</v>
      </c>
      <c r="B129" s="6">
        <v>45904</v>
      </c>
      <c r="C129" s="11">
        <v>0.6970601851851852</v>
      </c>
      <c r="D129" s="5" t="s">
        <v>46</v>
      </c>
      <c r="E129" s="11">
        <v>45907</v>
      </c>
      <c r="F129" s="11">
        <v>0.53680555555555554</v>
      </c>
      <c r="G129" s="5" t="s">
        <v>18</v>
      </c>
      <c r="H129" s="5" t="s">
        <v>18</v>
      </c>
      <c r="I129" s="5" t="s">
        <v>27</v>
      </c>
      <c r="J129" s="5">
        <v>8821616017</v>
      </c>
      <c r="K129" s="5" t="s">
        <v>259</v>
      </c>
      <c r="L129" s="5" t="s">
        <v>210</v>
      </c>
      <c r="M129" s="5" t="s">
        <v>22</v>
      </c>
      <c r="N129" s="5" t="s">
        <v>142</v>
      </c>
      <c r="O129" s="5">
        <v>3</v>
      </c>
      <c r="P129" s="5" t="s">
        <v>24</v>
      </c>
      <c r="Q129" s="5" t="s">
        <v>25</v>
      </c>
      <c r="U129" s="5">
        <v>75991991695</v>
      </c>
      <c r="V129" s="11">
        <v>45899</v>
      </c>
      <c r="W129" s="11">
        <v>0.87167824074074074</v>
      </c>
      <c r="X129" s="5">
        <f t="shared" si="10"/>
        <v>8</v>
      </c>
      <c r="Y129" s="5">
        <f t="shared" si="14"/>
        <v>35</v>
      </c>
      <c r="Z129" s="5">
        <f t="shared" si="15"/>
        <v>30</v>
      </c>
      <c r="AA129" s="5">
        <f t="shared" si="16"/>
        <v>7</v>
      </c>
      <c r="AB129" s="5" t="str">
        <f t="shared" si="17"/>
        <v>20 - 21 hr</v>
      </c>
      <c r="AC129" s="5" t="s">
        <v>55</v>
      </c>
      <c r="AD129" s="11">
        <v>45906</v>
      </c>
      <c r="AE129" s="11">
        <v>0.45189814814814816</v>
      </c>
      <c r="AF129" s="5" t="s">
        <v>18</v>
      </c>
      <c r="AG129" s="5" t="s">
        <v>18</v>
      </c>
      <c r="AH129" s="5" t="s">
        <v>27</v>
      </c>
      <c r="AI129" s="5">
        <v>8939413575</v>
      </c>
      <c r="AJ129" s="5" t="s">
        <v>149</v>
      </c>
      <c r="AK129" s="5" t="s">
        <v>150</v>
      </c>
      <c r="AL129" s="5" t="s">
        <v>22</v>
      </c>
      <c r="AM129" s="5" t="s">
        <v>76</v>
      </c>
      <c r="AN129" s="5">
        <v>1</v>
      </c>
      <c r="AO129" s="5" t="s">
        <v>24</v>
      </c>
      <c r="AP129" s="5" t="s">
        <v>25</v>
      </c>
      <c r="AQ129" s="5">
        <f t="shared" si="11"/>
        <v>157.92527777765645</v>
      </c>
      <c r="AR129" s="5">
        <f t="shared" si="12"/>
        <v>6.58</v>
      </c>
      <c r="AS129" s="5" t="str">
        <f t="shared" si="13"/>
        <v>5-8 days</v>
      </c>
      <c r="AT129" s="5" t="str">
        <f t="shared" ca="1" si="18"/>
        <v>STATUS-COMPLETE</v>
      </c>
      <c r="AU129" s="5" t="str">
        <f t="shared" ca="1" si="19"/>
        <v>STATUS-COMPLETE</v>
      </c>
    </row>
    <row r="130" spans="1:55" x14ac:dyDescent="0.3">
      <c r="A130" s="5">
        <v>75720877774</v>
      </c>
      <c r="B130" s="6">
        <v>45879</v>
      </c>
      <c r="C130" s="11">
        <v>0.5779050925925926</v>
      </c>
      <c r="D130" s="5" t="s">
        <v>43</v>
      </c>
      <c r="E130" s="11">
        <v>45883</v>
      </c>
      <c r="F130" s="11">
        <v>0.60106481481481477</v>
      </c>
      <c r="G130" s="5" t="s">
        <v>18</v>
      </c>
      <c r="H130" s="5" t="s">
        <v>18</v>
      </c>
      <c r="I130" s="5" t="s">
        <v>36</v>
      </c>
      <c r="J130" s="5">
        <v>8736851379</v>
      </c>
      <c r="K130" s="5" t="s">
        <v>351</v>
      </c>
      <c r="L130" s="5" t="s">
        <v>352</v>
      </c>
      <c r="M130" s="5" t="s">
        <v>22</v>
      </c>
      <c r="N130" s="5" t="s">
        <v>39</v>
      </c>
      <c r="O130" s="5">
        <v>4</v>
      </c>
      <c r="P130" s="5" t="s">
        <v>24</v>
      </c>
      <c r="Q130" s="5" t="s">
        <v>25</v>
      </c>
      <c r="U130" s="5">
        <v>75513669678</v>
      </c>
      <c r="V130" s="11">
        <v>45899</v>
      </c>
      <c r="W130" s="11">
        <v>0.5191782407407407</v>
      </c>
      <c r="X130" s="5">
        <f t="shared" ref="X130:X193" si="20">MONTH(V130)</f>
        <v>8</v>
      </c>
      <c r="Y130" s="5">
        <f t="shared" si="14"/>
        <v>35</v>
      </c>
      <c r="Z130" s="5">
        <f t="shared" si="15"/>
        <v>30</v>
      </c>
      <c r="AA130" s="5">
        <f t="shared" si="16"/>
        <v>7</v>
      </c>
      <c r="AB130" s="5" t="str">
        <f t="shared" si="17"/>
        <v>12 - 13 hr</v>
      </c>
      <c r="AC130" s="5" t="s">
        <v>55</v>
      </c>
      <c r="AD130" s="11"/>
      <c r="AE130" s="11"/>
      <c r="AF130" s="5" t="s">
        <v>18</v>
      </c>
      <c r="AG130" s="5" t="s">
        <v>18</v>
      </c>
      <c r="AH130" s="5" t="s">
        <v>36</v>
      </c>
      <c r="AI130" s="5">
        <v>9250402001</v>
      </c>
      <c r="AJ130" s="5" t="s">
        <v>164</v>
      </c>
      <c r="AK130" s="5" t="s">
        <v>165</v>
      </c>
      <c r="AL130" s="5" t="s">
        <v>22</v>
      </c>
      <c r="AM130" s="5" t="s">
        <v>23</v>
      </c>
      <c r="AN130" s="5">
        <v>2</v>
      </c>
      <c r="AO130" s="5" t="s">
        <v>24</v>
      </c>
      <c r="AP130" s="5" t="s">
        <v>25</v>
      </c>
      <c r="AQ130" s="5" t="str">
        <f t="shared" ref="AQ130:AQ193" si="21">IF(AO130="Pending","Issue_pending",
    IF(AO130="Complete",
        IF(OR(V130="",W130="",AD130="",AE130=""),"Issue_solved_date_absent",
           ((AD130+AE130)-(V130+W130))*24
        ),
    ""))</f>
        <v>Issue_solved_date_absent</v>
      </c>
      <c r="AR130" s="5" t="str">
        <f t="shared" ref="AR130:AR193" si="22">IF(AQ130="Issue_pending","Issue_pending",IF(AQ130="Issue_solved_date_absent","Issue_solved_date_absent",ROUND(AQ130/24,2)))</f>
        <v>Issue_solved_date_absent</v>
      </c>
      <c r="AS130" s="5" t="str">
        <f t="shared" ref="AS130:AS193" si="23">IF(AR130="Issue_pending","Issue_pending",
    IF(AR130="Issue_solved_date_absent","Issue_solved_date_absent",
        IF(AR130&lt;=4,"1-4 days",
        IF(AR130&lt;=8,"5-8 days",
        "9-12 days"))))</f>
        <v>Issue_solved_date_absent</v>
      </c>
      <c r="AT130" s="5" t="str">
        <f t="shared" ca="1" si="18"/>
        <v>STATUS-COMPLETE</v>
      </c>
      <c r="AU130" s="5" t="str">
        <f t="shared" ca="1" si="19"/>
        <v>STATUS-COMPLETE</v>
      </c>
    </row>
    <row r="131" spans="1:55" x14ac:dyDescent="0.3">
      <c r="A131" s="5">
        <v>75720890008</v>
      </c>
      <c r="B131" s="6">
        <v>45903</v>
      </c>
      <c r="C131" s="11">
        <v>0.4346875</v>
      </c>
      <c r="D131" s="5" t="s">
        <v>43</v>
      </c>
      <c r="E131" s="11">
        <v>45912</v>
      </c>
      <c r="F131" s="11">
        <v>0.69231481481481483</v>
      </c>
      <c r="G131" s="5" t="s">
        <v>18</v>
      </c>
      <c r="H131" s="5" t="s">
        <v>18</v>
      </c>
      <c r="I131" s="5" t="s">
        <v>36</v>
      </c>
      <c r="J131" s="5">
        <v>9156509381</v>
      </c>
      <c r="K131" s="5" t="s">
        <v>378</v>
      </c>
      <c r="L131" s="5" t="s">
        <v>54</v>
      </c>
      <c r="M131" s="5" t="s">
        <v>82</v>
      </c>
      <c r="N131" s="5" t="s">
        <v>42</v>
      </c>
      <c r="O131" s="5">
        <v>1</v>
      </c>
      <c r="P131" s="5" t="s">
        <v>24</v>
      </c>
      <c r="Q131" s="5" t="s">
        <v>25</v>
      </c>
      <c r="U131" s="5">
        <v>75770405910</v>
      </c>
      <c r="V131" s="11">
        <v>45899</v>
      </c>
      <c r="W131" s="11">
        <v>0.39590277777777777</v>
      </c>
      <c r="X131" s="5">
        <f t="shared" si="20"/>
        <v>8</v>
      </c>
      <c r="Y131" s="5">
        <f t="shared" ref="Y131:Y194" si="24">WEEKNUM(V131)</f>
        <v>35</v>
      </c>
      <c r="Z131" s="5">
        <f t="shared" ref="Z131:Z194" si="25">DAY(V131)</f>
        <v>30</v>
      </c>
      <c r="AA131" s="5">
        <f t="shared" ref="AA131:AA194" si="26">WEEKDAY(V131)</f>
        <v>7</v>
      </c>
      <c r="AB131" s="5" t="str">
        <f t="shared" ref="AB131:AB194" si="27">INT(W131*24)&amp;" - "&amp;INT(W131*24)+1&amp;" hr"</f>
        <v>9 - 10 hr</v>
      </c>
      <c r="AC131" s="5" t="str">
        <f>"Unknown_Handler"</f>
        <v>Unknown_Handler</v>
      </c>
      <c r="AD131" s="11"/>
      <c r="AE131" s="11"/>
      <c r="AF131" s="5" t="s">
        <v>18</v>
      </c>
      <c r="AG131" s="5" t="s">
        <v>18</v>
      </c>
      <c r="AH131" s="5" t="s">
        <v>49</v>
      </c>
      <c r="AI131" s="5">
        <v>8786600854</v>
      </c>
      <c r="AJ131" s="5" t="s">
        <v>299</v>
      </c>
      <c r="AK131" s="5" t="s">
        <v>244</v>
      </c>
      <c r="AL131" s="5" t="s">
        <v>82</v>
      </c>
      <c r="AM131" s="5" t="s">
        <v>66</v>
      </c>
      <c r="AN131" s="5">
        <v>7</v>
      </c>
      <c r="AO131" s="5" t="s">
        <v>34</v>
      </c>
      <c r="AP131" s="5" t="s">
        <v>35</v>
      </c>
      <c r="AQ131" s="5" t="str">
        <f t="shared" si="21"/>
        <v>Issue_pending</v>
      </c>
      <c r="AR131" s="5" t="str">
        <f t="shared" si="22"/>
        <v>Issue_pending</v>
      </c>
      <c r="AS131" s="5" t="str">
        <f t="shared" si="23"/>
        <v>Issue_pending</v>
      </c>
      <c r="AT131" s="5">
        <f t="shared" ref="AT131:AT194" ca="1" si="28">IF(AO131="Pending",TODAY()-V131,"STATUS-COMPLETE")</f>
        <v>31</v>
      </c>
      <c r="AU131" s="5" t="str">
        <f t="shared" ref="AU131:AU194" ca="1" si="29">IF(ISNUMBER(AT131),
     IF(AT131&lt;=7,"0-7 days",IF(AT131&lt;=20,"8-20 days","&gt;20 days")),
     AT131)</f>
        <v>&gt;20 days</v>
      </c>
    </row>
    <row r="132" spans="1:55" x14ac:dyDescent="0.3">
      <c r="A132" s="5">
        <v>75723893509</v>
      </c>
      <c r="B132" s="6">
        <v>45911</v>
      </c>
      <c r="C132" s="11">
        <v>0.52335648148148151</v>
      </c>
      <c r="D132" s="5" t="s">
        <v>46</v>
      </c>
      <c r="E132" s="11">
        <v>45920</v>
      </c>
      <c r="F132" s="11">
        <v>0.77692129629629625</v>
      </c>
      <c r="G132" s="5" t="s">
        <v>18</v>
      </c>
      <c r="H132" s="5" t="s">
        <v>18</v>
      </c>
      <c r="I132" s="5" t="s">
        <v>27</v>
      </c>
      <c r="J132" s="5">
        <v>7810230640</v>
      </c>
      <c r="K132" s="5" t="s">
        <v>330</v>
      </c>
      <c r="L132" s="5" t="s">
        <v>21</v>
      </c>
      <c r="M132" s="5" t="s">
        <v>33</v>
      </c>
      <c r="N132" s="5" t="s">
        <v>23</v>
      </c>
      <c r="O132" s="5">
        <v>3</v>
      </c>
      <c r="P132" s="5" t="s">
        <v>24</v>
      </c>
      <c r="Q132" s="5" t="s">
        <v>25</v>
      </c>
      <c r="U132" s="5">
        <v>75718092217</v>
      </c>
      <c r="V132" s="11">
        <v>45900</v>
      </c>
      <c r="W132" s="11">
        <v>0.51609953703703704</v>
      </c>
      <c r="X132" s="5">
        <f t="shared" si="20"/>
        <v>8</v>
      </c>
      <c r="Y132" s="5">
        <f t="shared" si="24"/>
        <v>36</v>
      </c>
      <c r="Z132" s="5">
        <f t="shared" si="25"/>
        <v>31</v>
      </c>
      <c r="AA132" s="5">
        <f t="shared" si="26"/>
        <v>1</v>
      </c>
      <c r="AB132" s="5" t="str">
        <f t="shared" si="27"/>
        <v>12 - 13 hr</v>
      </c>
      <c r="AC132" s="5" t="s">
        <v>30</v>
      </c>
      <c r="AD132" s="11">
        <v>45910</v>
      </c>
      <c r="AE132" s="11">
        <v>0.73493055555555553</v>
      </c>
      <c r="AF132" s="5" t="s">
        <v>18</v>
      </c>
      <c r="AG132" s="5" t="s">
        <v>18</v>
      </c>
      <c r="AH132" s="5" t="s">
        <v>49</v>
      </c>
      <c r="AI132" s="5">
        <v>7060766757</v>
      </c>
      <c r="AJ132" s="5" t="s">
        <v>87</v>
      </c>
      <c r="AK132" s="5" t="s">
        <v>54</v>
      </c>
      <c r="AL132" s="5" t="s">
        <v>22</v>
      </c>
      <c r="AM132" s="5" t="s">
        <v>42</v>
      </c>
      <c r="AN132" s="5">
        <v>6</v>
      </c>
      <c r="AO132" s="5" t="s">
        <v>24</v>
      </c>
      <c r="AP132" s="5" t="s">
        <v>25</v>
      </c>
      <c r="AQ132" s="5">
        <f t="shared" si="21"/>
        <v>245.25194444437511</v>
      </c>
      <c r="AR132" s="5">
        <f t="shared" si="22"/>
        <v>10.220000000000001</v>
      </c>
      <c r="AS132" s="5" t="str">
        <f t="shared" si="23"/>
        <v>9-12 days</v>
      </c>
      <c r="AT132" s="5" t="str">
        <f t="shared" ca="1" si="28"/>
        <v>STATUS-COMPLETE</v>
      </c>
      <c r="AU132" s="5" t="str">
        <f t="shared" ca="1" si="29"/>
        <v>STATUS-COMPLETE</v>
      </c>
    </row>
    <row r="133" spans="1:55" x14ac:dyDescent="0.3">
      <c r="A133" s="5">
        <v>75725402780</v>
      </c>
      <c r="B133" s="6">
        <v>45900</v>
      </c>
      <c r="C133" s="11">
        <v>0.5540856481481482</v>
      </c>
      <c r="D133" s="5" t="s">
        <v>48</v>
      </c>
      <c r="E133" s="11"/>
      <c r="F133" s="11"/>
      <c r="G133" s="5" t="s">
        <v>18</v>
      </c>
      <c r="H133" s="5" t="s">
        <v>18</v>
      </c>
      <c r="I133" s="5" t="s">
        <v>19</v>
      </c>
      <c r="J133" s="5">
        <v>9990082548</v>
      </c>
      <c r="K133" s="5" t="s">
        <v>383</v>
      </c>
      <c r="L133" s="5" t="s">
        <v>21</v>
      </c>
      <c r="M133" s="5" t="s">
        <v>22</v>
      </c>
      <c r="N133" s="5" t="s">
        <v>23</v>
      </c>
      <c r="O133" s="5">
        <v>7</v>
      </c>
      <c r="P133" s="5" t="s">
        <v>34</v>
      </c>
      <c r="Q133" s="5" t="s">
        <v>60</v>
      </c>
      <c r="U133" s="5">
        <v>75562915636</v>
      </c>
      <c r="V133" s="11">
        <v>45900</v>
      </c>
      <c r="W133" s="11">
        <v>0.49416666666666664</v>
      </c>
      <c r="X133" s="5">
        <f t="shared" si="20"/>
        <v>8</v>
      </c>
      <c r="Y133" s="5">
        <f t="shared" si="24"/>
        <v>36</v>
      </c>
      <c r="Z133" s="5">
        <f t="shared" si="25"/>
        <v>31</v>
      </c>
      <c r="AA133" s="5">
        <f t="shared" si="26"/>
        <v>1</v>
      </c>
      <c r="AB133" s="5" t="str">
        <f t="shared" si="27"/>
        <v>11 - 12 hr</v>
      </c>
      <c r="AC133" s="5" t="s">
        <v>30</v>
      </c>
      <c r="AD133" s="11">
        <v>45902</v>
      </c>
      <c r="AE133" s="11">
        <v>0.64657407407407408</v>
      </c>
      <c r="AF133" s="5" t="s">
        <v>18</v>
      </c>
      <c r="AG133" s="5" t="s">
        <v>18</v>
      </c>
      <c r="AH133" s="5" t="s">
        <v>19</v>
      </c>
      <c r="AI133" s="5">
        <v>7365849190</v>
      </c>
      <c r="AJ133" s="5" t="s">
        <v>90</v>
      </c>
      <c r="AK133" s="5" t="s">
        <v>91</v>
      </c>
      <c r="AL133" s="5" t="s">
        <v>22</v>
      </c>
      <c r="AM133" s="5" t="s">
        <v>63</v>
      </c>
      <c r="AN133" s="5">
        <v>5</v>
      </c>
      <c r="AO133" s="5" t="s">
        <v>24</v>
      </c>
      <c r="AP133" s="5" t="s">
        <v>25</v>
      </c>
      <c r="AQ133" s="5">
        <f t="shared" si="21"/>
        <v>51.65777777787298</v>
      </c>
      <c r="AR133" s="5">
        <f t="shared" si="22"/>
        <v>2.15</v>
      </c>
      <c r="AS133" s="5" t="str">
        <f t="shared" si="23"/>
        <v>1-4 days</v>
      </c>
      <c r="AT133" s="5" t="str">
        <f t="shared" ca="1" si="28"/>
        <v>STATUS-COMPLETE</v>
      </c>
      <c r="AU133" s="5" t="str">
        <f t="shared" ca="1" si="29"/>
        <v>STATUS-COMPLETE</v>
      </c>
    </row>
    <row r="134" spans="1:55" x14ac:dyDescent="0.3">
      <c r="A134" s="5">
        <v>75728786222</v>
      </c>
      <c r="B134" s="6">
        <v>45901</v>
      </c>
      <c r="C134" s="11">
        <v>0.81762731481481477</v>
      </c>
      <c r="D134" s="5" t="s">
        <v>48</v>
      </c>
      <c r="E134" s="11">
        <v>45902</v>
      </c>
      <c r="F134" s="11">
        <v>0.42932870370370368</v>
      </c>
      <c r="G134" s="5" t="s">
        <v>18</v>
      </c>
      <c r="H134" s="5" t="s">
        <v>18</v>
      </c>
      <c r="I134" s="5" t="s">
        <v>49</v>
      </c>
      <c r="J134" s="5">
        <v>9377148230</v>
      </c>
      <c r="K134" s="5" t="s">
        <v>83</v>
      </c>
      <c r="L134" s="5" t="s">
        <v>54</v>
      </c>
      <c r="M134" s="5" t="s">
        <v>29</v>
      </c>
      <c r="N134" s="5" t="s">
        <v>42</v>
      </c>
      <c r="O134" s="5">
        <v>5</v>
      </c>
      <c r="P134" s="5" t="s">
        <v>24</v>
      </c>
      <c r="Q134" s="5" t="s">
        <v>25</v>
      </c>
      <c r="U134" s="5">
        <v>75927986559</v>
      </c>
      <c r="V134" s="11">
        <v>45900</v>
      </c>
      <c r="W134" s="11">
        <v>0.43775462962962963</v>
      </c>
      <c r="X134" s="5">
        <f t="shared" si="20"/>
        <v>8</v>
      </c>
      <c r="Y134" s="5">
        <f t="shared" si="24"/>
        <v>36</v>
      </c>
      <c r="Z134" s="5">
        <f t="shared" si="25"/>
        <v>31</v>
      </c>
      <c r="AA134" s="5">
        <f t="shared" si="26"/>
        <v>1</v>
      </c>
      <c r="AB134" s="5" t="str">
        <f t="shared" si="27"/>
        <v>10 - 11 hr</v>
      </c>
      <c r="AC134" s="5" t="s">
        <v>55</v>
      </c>
      <c r="AD134" s="11">
        <v>45908</v>
      </c>
      <c r="AE134" s="11">
        <v>0.54973379629629626</v>
      </c>
      <c r="AF134" s="5" t="s">
        <v>18</v>
      </c>
      <c r="AG134" s="5" t="s">
        <v>18</v>
      </c>
      <c r="AH134" s="5" t="s">
        <v>49</v>
      </c>
      <c r="AI134" s="5">
        <v>8431548670</v>
      </c>
      <c r="AJ134" s="5" t="s">
        <v>103</v>
      </c>
      <c r="AK134" s="5" t="s">
        <v>104</v>
      </c>
      <c r="AL134" s="5" t="s">
        <v>29</v>
      </c>
      <c r="AM134" s="5" t="s">
        <v>72</v>
      </c>
      <c r="AN134" s="5">
        <v>8</v>
      </c>
      <c r="AO134" s="5" t="s">
        <v>24</v>
      </c>
      <c r="AP134" s="5" t="s">
        <v>25</v>
      </c>
      <c r="AQ134" s="5">
        <f t="shared" si="21"/>
        <v>194.68749999994179</v>
      </c>
      <c r="AR134" s="5">
        <f t="shared" si="22"/>
        <v>8.11</v>
      </c>
      <c r="AS134" s="5" t="str">
        <f t="shared" si="23"/>
        <v>9-12 days</v>
      </c>
      <c r="AT134" s="5" t="str">
        <f t="shared" ca="1" si="28"/>
        <v>STATUS-COMPLETE</v>
      </c>
      <c r="AU134" s="5" t="str">
        <f t="shared" ca="1" si="29"/>
        <v>STATUS-COMPLETE</v>
      </c>
    </row>
    <row r="135" spans="1:55" x14ac:dyDescent="0.3">
      <c r="A135" s="5">
        <v>75733665422</v>
      </c>
      <c r="B135" s="6">
        <v>45908</v>
      </c>
      <c r="C135" s="11">
        <v>0.70873842592592595</v>
      </c>
      <c r="D135" s="5" t="s">
        <v>55</v>
      </c>
      <c r="E135" s="11"/>
      <c r="F135" s="11"/>
      <c r="G135" s="5" t="s">
        <v>18</v>
      </c>
      <c r="H135" s="5" t="s">
        <v>18</v>
      </c>
      <c r="I135" s="5" t="s">
        <v>19</v>
      </c>
      <c r="J135" s="5">
        <v>7400330495</v>
      </c>
      <c r="K135" s="5" t="s">
        <v>108</v>
      </c>
      <c r="L135" s="5" t="s">
        <v>109</v>
      </c>
      <c r="M135" s="5" t="s">
        <v>82</v>
      </c>
      <c r="N135" s="5" t="s">
        <v>63</v>
      </c>
      <c r="O135" s="5">
        <v>7</v>
      </c>
      <c r="P135" s="5" t="s">
        <v>34</v>
      </c>
      <c r="Q135" s="5" t="s">
        <v>35</v>
      </c>
      <c r="U135" s="5">
        <v>75602563940</v>
      </c>
      <c r="V135" s="11">
        <v>45900</v>
      </c>
      <c r="W135" s="11">
        <v>0.84416666666666662</v>
      </c>
      <c r="X135" s="5">
        <f t="shared" si="20"/>
        <v>8</v>
      </c>
      <c r="Y135" s="5">
        <f t="shared" si="24"/>
        <v>36</v>
      </c>
      <c r="Z135" s="5">
        <f t="shared" si="25"/>
        <v>31</v>
      </c>
      <c r="AA135" s="5">
        <f t="shared" si="26"/>
        <v>1</v>
      </c>
      <c r="AB135" s="5" t="str">
        <f t="shared" si="27"/>
        <v>20 - 21 hr</v>
      </c>
      <c r="AC135" s="5" t="s">
        <v>55</v>
      </c>
      <c r="AD135" s="11">
        <v>45909</v>
      </c>
      <c r="AE135" s="11">
        <v>0.7253356481481481</v>
      </c>
      <c r="AF135" s="5" t="s">
        <v>18</v>
      </c>
      <c r="AG135" s="5" t="s">
        <v>18</v>
      </c>
      <c r="AH135" s="5" t="s">
        <v>27</v>
      </c>
      <c r="AI135" s="5">
        <v>8003143045</v>
      </c>
      <c r="AJ135" s="5" t="s">
        <v>114</v>
      </c>
      <c r="AK135" s="5" t="s">
        <v>115</v>
      </c>
      <c r="AL135" s="5" t="s">
        <v>33</v>
      </c>
      <c r="AM135" s="5" t="s">
        <v>116</v>
      </c>
      <c r="AN135" s="5">
        <v>5</v>
      </c>
      <c r="AO135" s="5" t="s">
        <v>24</v>
      </c>
      <c r="AP135" s="5" t="s">
        <v>25</v>
      </c>
      <c r="AQ135" s="5">
        <f t="shared" si="21"/>
        <v>213.14805555541534</v>
      </c>
      <c r="AR135" s="5">
        <f t="shared" si="22"/>
        <v>8.8800000000000008</v>
      </c>
      <c r="AS135" s="5" t="str">
        <f t="shared" si="23"/>
        <v>9-12 days</v>
      </c>
      <c r="AT135" s="5" t="str">
        <f t="shared" ca="1" si="28"/>
        <v>STATUS-COMPLETE</v>
      </c>
      <c r="AU135" s="5" t="str">
        <f t="shared" ca="1" si="29"/>
        <v>STATUS-COMPLETE</v>
      </c>
    </row>
    <row r="136" spans="1:55" x14ac:dyDescent="0.3">
      <c r="A136" s="5">
        <v>75741511874</v>
      </c>
      <c r="B136" s="6">
        <v>45890</v>
      </c>
      <c r="C136" s="11">
        <v>0.67863425925925924</v>
      </c>
      <c r="D136" s="5" t="s">
        <v>17</v>
      </c>
      <c r="E136" s="11"/>
      <c r="F136" s="11"/>
      <c r="G136" s="5" t="s">
        <v>18</v>
      </c>
      <c r="H136" s="5" t="s">
        <v>18</v>
      </c>
      <c r="I136" s="5" t="s">
        <v>27</v>
      </c>
      <c r="J136" s="5">
        <v>7870644102</v>
      </c>
      <c r="K136" s="5" t="s">
        <v>349</v>
      </c>
      <c r="L136" s="5" t="s">
        <v>220</v>
      </c>
      <c r="M136" s="5" t="s">
        <v>33</v>
      </c>
      <c r="N136" s="5" t="s">
        <v>203</v>
      </c>
      <c r="O136" s="5">
        <v>6</v>
      </c>
      <c r="P136" s="5" t="s">
        <v>34</v>
      </c>
      <c r="Q136" s="5" t="s">
        <v>60</v>
      </c>
      <c r="U136" s="5">
        <v>75931855083</v>
      </c>
      <c r="V136" s="11">
        <v>45900</v>
      </c>
      <c r="W136" s="11">
        <v>0.38092592592592595</v>
      </c>
      <c r="X136" s="5">
        <f t="shared" si="20"/>
        <v>8</v>
      </c>
      <c r="Y136" s="5">
        <f t="shared" si="24"/>
        <v>36</v>
      </c>
      <c r="Z136" s="5">
        <f t="shared" si="25"/>
        <v>31</v>
      </c>
      <c r="AA136" s="5">
        <f t="shared" si="26"/>
        <v>1</v>
      </c>
      <c r="AB136" s="5" t="str">
        <f t="shared" si="27"/>
        <v>9 - 10 hr</v>
      </c>
      <c r="AC136" s="5" t="s">
        <v>58</v>
      </c>
      <c r="AD136" s="11">
        <v>45907</v>
      </c>
      <c r="AE136" s="11">
        <v>0.65474537037037039</v>
      </c>
      <c r="AF136" s="5" t="s">
        <v>18</v>
      </c>
      <c r="AG136" s="5" t="s">
        <v>18</v>
      </c>
      <c r="AH136" s="5" t="s">
        <v>27</v>
      </c>
      <c r="AI136" s="5">
        <v>8425906387</v>
      </c>
      <c r="AJ136" s="5" t="s">
        <v>117</v>
      </c>
      <c r="AK136" s="5" t="s">
        <v>115</v>
      </c>
      <c r="AL136" s="5" t="s">
        <v>82</v>
      </c>
      <c r="AM136" s="5" t="s">
        <v>116</v>
      </c>
      <c r="AN136" s="5">
        <v>7</v>
      </c>
      <c r="AO136" s="5" t="s">
        <v>24</v>
      </c>
      <c r="AP136" s="5" t="s">
        <v>25</v>
      </c>
      <c r="AQ136" s="5">
        <f t="shared" si="21"/>
        <v>174.57166666653939</v>
      </c>
      <c r="AR136" s="5">
        <f t="shared" si="22"/>
        <v>7.27</v>
      </c>
      <c r="AS136" s="5" t="str">
        <f t="shared" si="23"/>
        <v>5-8 days</v>
      </c>
      <c r="AT136" s="5" t="str">
        <f t="shared" ca="1" si="28"/>
        <v>STATUS-COMPLETE</v>
      </c>
      <c r="AU136" s="5" t="str">
        <f t="shared" ca="1" si="29"/>
        <v>STATUS-COMPLETE</v>
      </c>
    </row>
    <row r="137" spans="1:55" x14ac:dyDescent="0.3">
      <c r="A137" s="5">
        <v>75742863363</v>
      </c>
      <c r="B137" s="6">
        <v>45896</v>
      </c>
      <c r="C137" s="11">
        <v>0.87178240740740742</v>
      </c>
      <c r="D137" s="5" t="s">
        <v>55</v>
      </c>
      <c r="E137" s="11">
        <v>45900</v>
      </c>
      <c r="F137" s="11">
        <v>0.60982638888888885</v>
      </c>
      <c r="G137" s="5" t="s">
        <v>18</v>
      </c>
      <c r="H137" s="5" t="s">
        <v>18</v>
      </c>
      <c r="I137" s="5" t="s">
        <v>19</v>
      </c>
      <c r="J137" s="5">
        <v>7561636336</v>
      </c>
      <c r="K137" s="5" t="s">
        <v>221</v>
      </c>
      <c r="L137" s="5" t="s">
        <v>137</v>
      </c>
      <c r="M137" s="5" t="s">
        <v>33</v>
      </c>
      <c r="N137" s="5" t="s">
        <v>63</v>
      </c>
      <c r="O137" s="5">
        <v>1</v>
      </c>
      <c r="P137" s="5" t="s">
        <v>24</v>
      </c>
      <c r="Q137" s="5" t="s">
        <v>25</v>
      </c>
      <c r="U137" s="5">
        <v>75717001612</v>
      </c>
      <c r="V137" s="11">
        <v>45900</v>
      </c>
      <c r="W137" s="11">
        <v>0.41229166666666667</v>
      </c>
      <c r="X137" s="5">
        <f t="shared" si="20"/>
        <v>8</v>
      </c>
      <c r="Y137" s="5">
        <f t="shared" si="24"/>
        <v>36</v>
      </c>
      <c r="Z137" s="5">
        <f t="shared" si="25"/>
        <v>31</v>
      </c>
      <c r="AA137" s="5">
        <f t="shared" si="26"/>
        <v>1</v>
      </c>
      <c r="AB137" s="5" t="str">
        <f t="shared" si="27"/>
        <v>9 - 10 hr</v>
      </c>
      <c r="AC137" s="5" t="s">
        <v>55</v>
      </c>
      <c r="AD137" s="11">
        <v>45907</v>
      </c>
      <c r="AE137" s="11">
        <v>0.76569444444444446</v>
      </c>
      <c r="AF137" s="5" t="s">
        <v>18</v>
      </c>
      <c r="AG137" s="5" t="s">
        <v>18</v>
      </c>
      <c r="AH137" s="5" t="s">
        <v>49</v>
      </c>
      <c r="AI137" s="5">
        <v>8178884276</v>
      </c>
      <c r="AJ137" s="5" t="s">
        <v>127</v>
      </c>
      <c r="AK137" s="5" t="s">
        <v>101</v>
      </c>
      <c r="AL137" s="5" t="s">
        <v>33</v>
      </c>
      <c r="AM137" s="5" t="s">
        <v>102</v>
      </c>
      <c r="AN137" s="5">
        <v>8</v>
      </c>
      <c r="AO137" s="5" t="s">
        <v>24</v>
      </c>
      <c r="AP137" s="5" t="s">
        <v>25</v>
      </c>
      <c r="AQ137" s="5">
        <f t="shared" si="21"/>
        <v>176.4816666666884</v>
      </c>
      <c r="AR137" s="5">
        <f t="shared" si="22"/>
        <v>7.35</v>
      </c>
      <c r="AS137" s="5" t="str">
        <f t="shared" si="23"/>
        <v>5-8 days</v>
      </c>
      <c r="AT137" s="5" t="str">
        <f t="shared" ca="1" si="28"/>
        <v>STATUS-COMPLETE</v>
      </c>
      <c r="AU137" s="5" t="str">
        <f t="shared" ca="1" si="29"/>
        <v>STATUS-COMPLETE</v>
      </c>
      <c r="AZ137" s="2" t="s">
        <v>394</v>
      </c>
      <c r="BA137" s="2" t="s">
        <v>393</v>
      </c>
    </row>
    <row r="138" spans="1:55" x14ac:dyDescent="0.3">
      <c r="A138" s="5">
        <v>75743847870</v>
      </c>
      <c r="B138" s="6">
        <v>45876</v>
      </c>
      <c r="C138" s="11">
        <v>0.51620370370370372</v>
      </c>
      <c r="D138" s="5" t="s">
        <v>55</v>
      </c>
      <c r="E138" s="11"/>
      <c r="F138" s="11"/>
      <c r="G138" s="5" t="s">
        <v>18</v>
      </c>
      <c r="H138" s="5" t="s">
        <v>18</v>
      </c>
      <c r="I138" s="5" t="s">
        <v>49</v>
      </c>
      <c r="J138" s="5">
        <v>7196346343</v>
      </c>
      <c r="K138" s="5" t="s">
        <v>273</v>
      </c>
      <c r="L138" s="5" t="s">
        <v>159</v>
      </c>
      <c r="M138" s="5" t="s">
        <v>29</v>
      </c>
      <c r="N138" s="5" t="s">
        <v>102</v>
      </c>
      <c r="O138" s="5">
        <v>5</v>
      </c>
      <c r="P138" s="5" t="s">
        <v>34</v>
      </c>
      <c r="Q138" s="5" t="s">
        <v>35</v>
      </c>
      <c r="U138" s="5">
        <v>75485068029</v>
      </c>
      <c r="V138" s="11">
        <v>45900</v>
      </c>
      <c r="W138" s="11">
        <v>0.38626157407407408</v>
      </c>
      <c r="X138" s="5">
        <f t="shared" si="20"/>
        <v>8</v>
      </c>
      <c r="Y138" s="5">
        <f t="shared" si="24"/>
        <v>36</v>
      </c>
      <c r="Z138" s="5">
        <f t="shared" si="25"/>
        <v>31</v>
      </c>
      <c r="AA138" s="5">
        <f t="shared" si="26"/>
        <v>1</v>
      </c>
      <c r="AB138" s="5" t="str">
        <f t="shared" si="27"/>
        <v>9 - 10 hr</v>
      </c>
      <c r="AC138" s="5" t="s">
        <v>95</v>
      </c>
      <c r="AD138" s="11">
        <v>45903</v>
      </c>
      <c r="AE138" s="11">
        <v>0.68656249999999996</v>
      </c>
      <c r="AF138" s="5" t="s">
        <v>18</v>
      </c>
      <c r="AG138" s="5" t="s">
        <v>18</v>
      </c>
      <c r="AH138" s="5" t="s">
        <v>49</v>
      </c>
      <c r="AI138" s="5">
        <v>9357096258</v>
      </c>
      <c r="AJ138" s="5" t="s">
        <v>186</v>
      </c>
      <c r="AK138" s="5" t="s">
        <v>187</v>
      </c>
      <c r="AL138" s="5" t="s">
        <v>22</v>
      </c>
      <c r="AM138" s="5" t="s">
        <v>52</v>
      </c>
      <c r="AN138" s="5">
        <v>3</v>
      </c>
      <c r="AO138" s="5" t="s">
        <v>24</v>
      </c>
      <c r="AP138" s="5" t="s">
        <v>25</v>
      </c>
      <c r="AQ138" s="5">
        <f t="shared" si="21"/>
        <v>79.207222222234122</v>
      </c>
      <c r="AR138" s="5">
        <f t="shared" si="22"/>
        <v>3.3</v>
      </c>
      <c r="AS138" s="5" t="str">
        <f t="shared" si="23"/>
        <v>1-4 days</v>
      </c>
      <c r="AT138" s="5" t="str">
        <f t="shared" ca="1" si="28"/>
        <v>STATUS-COMPLETE</v>
      </c>
      <c r="AU138" s="5" t="str">
        <f t="shared" ca="1" si="29"/>
        <v>STATUS-COMPLETE</v>
      </c>
      <c r="AZ138" s="2" t="s">
        <v>391</v>
      </c>
      <c r="BA138" t="s">
        <v>24</v>
      </c>
      <c r="BB138" t="s">
        <v>34</v>
      </c>
      <c r="BC138" t="s">
        <v>392</v>
      </c>
    </row>
    <row r="139" spans="1:55" x14ac:dyDescent="0.3">
      <c r="A139" s="5">
        <v>75744851196</v>
      </c>
      <c r="B139" s="6">
        <v>45896</v>
      </c>
      <c r="C139" s="11">
        <v>0.57017361111111109</v>
      </c>
      <c r="D139" s="5" t="s">
        <v>17</v>
      </c>
      <c r="E139" s="11">
        <v>45904</v>
      </c>
      <c r="F139" s="11">
        <v>0.69527777777777777</v>
      </c>
      <c r="G139" s="5" t="s">
        <v>18</v>
      </c>
      <c r="H139" s="5" t="s">
        <v>18</v>
      </c>
      <c r="I139" s="5" t="s">
        <v>27</v>
      </c>
      <c r="J139" s="5">
        <v>9801601713</v>
      </c>
      <c r="K139" s="5" t="s">
        <v>242</v>
      </c>
      <c r="L139" s="5" t="s">
        <v>210</v>
      </c>
      <c r="M139" s="5" t="s">
        <v>33</v>
      </c>
      <c r="N139" s="5" t="s">
        <v>142</v>
      </c>
      <c r="O139" s="5">
        <v>1</v>
      </c>
      <c r="P139" s="5" t="s">
        <v>24</v>
      </c>
      <c r="Q139" s="5" t="s">
        <v>25</v>
      </c>
      <c r="U139" s="5">
        <v>75993634042</v>
      </c>
      <c r="V139" s="11">
        <v>45900</v>
      </c>
      <c r="W139" s="11">
        <v>0.86644675925925929</v>
      </c>
      <c r="X139" s="5">
        <f t="shared" si="20"/>
        <v>8</v>
      </c>
      <c r="Y139" s="5">
        <f t="shared" si="24"/>
        <v>36</v>
      </c>
      <c r="Z139" s="5">
        <f t="shared" si="25"/>
        <v>31</v>
      </c>
      <c r="AA139" s="5">
        <f t="shared" si="26"/>
        <v>1</v>
      </c>
      <c r="AB139" s="5" t="str">
        <f t="shared" si="27"/>
        <v>20 - 21 hr</v>
      </c>
      <c r="AC139" s="5" t="s">
        <v>55</v>
      </c>
      <c r="AD139" s="11">
        <v>45903</v>
      </c>
      <c r="AE139" s="11">
        <v>0.49993055555555554</v>
      </c>
      <c r="AF139" s="5" t="s">
        <v>18</v>
      </c>
      <c r="AG139" s="5" t="s">
        <v>18</v>
      </c>
      <c r="AH139" s="5" t="s">
        <v>27</v>
      </c>
      <c r="AI139" s="5">
        <v>7964285941</v>
      </c>
      <c r="AJ139" s="5" t="s">
        <v>339</v>
      </c>
      <c r="AK139" s="5" t="s">
        <v>340</v>
      </c>
      <c r="AL139" s="5" t="s">
        <v>22</v>
      </c>
      <c r="AM139" s="5" t="s">
        <v>76</v>
      </c>
      <c r="AN139" s="5">
        <v>5</v>
      </c>
      <c r="AO139" s="5" t="s">
        <v>24</v>
      </c>
      <c r="AP139" s="5" t="s">
        <v>25</v>
      </c>
      <c r="AQ139" s="5">
        <f t="shared" si="21"/>
        <v>63.203611111035571</v>
      </c>
      <c r="AR139" s="5">
        <f t="shared" si="22"/>
        <v>2.63</v>
      </c>
      <c r="AS139" s="5" t="str">
        <f t="shared" si="23"/>
        <v>1-4 days</v>
      </c>
      <c r="AT139" s="5" t="str">
        <f t="shared" ca="1" si="28"/>
        <v>STATUS-COMPLETE</v>
      </c>
      <c r="AU139" s="5" t="str">
        <f t="shared" ca="1" si="29"/>
        <v>STATUS-COMPLETE</v>
      </c>
      <c r="AZ139" s="3" t="s">
        <v>55</v>
      </c>
      <c r="BA139" s="64">
        <v>32</v>
      </c>
      <c r="BB139" s="64">
        <v>6</v>
      </c>
      <c r="BC139" s="64">
        <v>38</v>
      </c>
    </row>
    <row r="140" spans="1:55" x14ac:dyDescent="0.3">
      <c r="A140" s="5">
        <v>75749019278</v>
      </c>
      <c r="B140" s="6">
        <v>45919</v>
      </c>
      <c r="C140" s="11">
        <v>0.81288194444444439</v>
      </c>
      <c r="D140" s="5" t="s">
        <v>55</v>
      </c>
      <c r="E140" s="11">
        <v>45927</v>
      </c>
      <c r="F140" s="11">
        <v>0.40634259259259259</v>
      </c>
      <c r="G140" s="5" t="s">
        <v>18</v>
      </c>
      <c r="H140" s="5" t="s">
        <v>18</v>
      </c>
      <c r="I140" s="5" t="s">
        <v>36</v>
      </c>
      <c r="J140" s="5">
        <v>8347557120</v>
      </c>
      <c r="K140" s="5" t="s">
        <v>234</v>
      </c>
      <c r="L140" s="5" t="s">
        <v>235</v>
      </c>
      <c r="M140" s="5" t="s">
        <v>82</v>
      </c>
      <c r="N140" s="5" t="s">
        <v>39</v>
      </c>
      <c r="O140" s="5">
        <v>5</v>
      </c>
      <c r="P140" s="5" t="s">
        <v>24</v>
      </c>
      <c r="Q140" s="5" t="s">
        <v>25</v>
      </c>
      <c r="U140" s="5">
        <v>75598514700</v>
      </c>
      <c r="V140" s="11">
        <v>45900</v>
      </c>
      <c r="W140" s="11">
        <v>0.62250000000000005</v>
      </c>
      <c r="X140" s="5">
        <f t="shared" si="20"/>
        <v>8</v>
      </c>
      <c r="Y140" s="5">
        <f t="shared" si="24"/>
        <v>36</v>
      </c>
      <c r="Z140" s="5">
        <f t="shared" si="25"/>
        <v>31</v>
      </c>
      <c r="AA140" s="5">
        <f t="shared" si="26"/>
        <v>1</v>
      </c>
      <c r="AB140" s="5" t="str">
        <f t="shared" si="27"/>
        <v>14 - 15 hr</v>
      </c>
      <c r="AC140" s="5" t="s">
        <v>78</v>
      </c>
      <c r="AD140" s="11">
        <v>45911</v>
      </c>
      <c r="AE140" s="11">
        <v>0.54561342592592588</v>
      </c>
      <c r="AF140" s="5" t="s">
        <v>18</v>
      </c>
      <c r="AG140" s="5" t="s">
        <v>18</v>
      </c>
      <c r="AH140" s="5" t="s">
        <v>19</v>
      </c>
      <c r="AI140" s="5">
        <v>7801367625</v>
      </c>
      <c r="AJ140" s="5" t="s">
        <v>376</v>
      </c>
      <c r="AK140" s="5" t="s">
        <v>137</v>
      </c>
      <c r="AL140" s="5" t="s">
        <v>29</v>
      </c>
      <c r="AM140" s="5" t="s">
        <v>63</v>
      </c>
      <c r="AN140" s="5">
        <v>4</v>
      </c>
      <c r="AO140" s="5" t="s">
        <v>24</v>
      </c>
      <c r="AP140" s="5" t="s">
        <v>25</v>
      </c>
      <c r="AQ140" s="5">
        <f t="shared" si="21"/>
        <v>262.15472222235985</v>
      </c>
      <c r="AR140" s="5">
        <f t="shared" si="22"/>
        <v>10.92</v>
      </c>
      <c r="AS140" s="5" t="str">
        <f t="shared" si="23"/>
        <v>9-12 days</v>
      </c>
      <c r="AT140" s="5" t="str">
        <f t="shared" ca="1" si="28"/>
        <v>STATUS-COMPLETE</v>
      </c>
      <c r="AU140" s="5" t="str">
        <f t="shared" ca="1" si="29"/>
        <v>STATUS-COMPLETE</v>
      </c>
      <c r="AZ140" s="3" t="s">
        <v>30</v>
      </c>
      <c r="BA140" s="64">
        <v>17</v>
      </c>
      <c r="BB140" s="64">
        <v>8</v>
      </c>
      <c r="BC140" s="64">
        <v>25</v>
      </c>
    </row>
    <row r="141" spans="1:55" x14ac:dyDescent="0.3">
      <c r="A141" s="5">
        <v>75757517705</v>
      </c>
      <c r="B141" s="6">
        <v>45874</v>
      </c>
      <c r="C141" s="11">
        <v>0.58194444444444449</v>
      </c>
      <c r="D141" s="5" t="s">
        <v>26</v>
      </c>
      <c r="E141" s="11">
        <v>45884</v>
      </c>
      <c r="F141" s="11">
        <v>0.71770833333333328</v>
      </c>
      <c r="G141" s="5" t="s">
        <v>18</v>
      </c>
      <c r="H141" s="5" t="s">
        <v>18</v>
      </c>
      <c r="I141" s="5" t="s">
        <v>49</v>
      </c>
      <c r="J141" s="5">
        <v>7816145550</v>
      </c>
      <c r="K141" s="5" t="s">
        <v>270</v>
      </c>
      <c r="L141" s="5" t="s">
        <v>271</v>
      </c>
      <c r="M141" s="5" t="s">
        <v>82</v>
      </c>
      <c r="N141" s="5" t="s">
        <v>102</v>
      </c>
      <c r="O141" s="5">
        <v>1</v>
      </c>
      <c r="P141" s="5" t="s">
        <v>24</v>
      </c>
      <c r="Q141" s="5" t="s">
        <v>25</v>
      </c>
      <c r="U141" s="5">
        <v>75725402780</v>
      </c>
      <c r="V141" s="11">
        <v>45900</v>
      </c>
      <c r="W141" s="11">
        <v>0.5540856481481482</v>
      </c>
      <c r="X141" s="5">
        <f t="shared" si="20"/>
        <v>8</v>
      </c>
      <c r="Y141" s="5">
        <f t="shared" si="24"/>
        <v>36</v>
      </c>
      <c r="Z141" s="5">
        <f t="shared" si="25"/>
        <v>31</v>
      </c>
      <c r="AA141" s="5">
        <f t="shared" si="26"/>
        <v>1</v>
      </c>
      <c r="AB141" s="5" t="str">
        <f t="shared" si="27"/>
        <v>13 - 14 hr</v>
      </c>
      <c r="AC141" s="5" t="s">
        <v>48</v>
      </c>
      <c r="AD141" s="11"/>
      <c r="AE141" s="11"/>
      <c r="AF141" s="5" t="s">
        <v>18</v>
      </c>
      <c r="AG141" s="5" t="s">
        <v>18</v>
      </c>
      <c r="AH141" s="5" t="s">
        <v>19</v>
      </c>
      <c r="AI141" s="5">
        <v>9990082548</v>
      </c>
      <c r="AJ141" s="5" t="s">
        <v>383</v>
      </c>
      <c r="AK141" s="5" t="s">
        <v>21</v>
      </c>
      <c r="AL141" s="5" t="s">
        <v>22</v>
      </c>
      <c r="AM141" s="5" t="s">
        <v>23</v>
      </c>
      <c r="AN141" s="5">
        <v>7</v>
      </c>
      <c r="AO141" s="5" t="s">
        <v>34</v>
      </c>
      <c r="AP141" s="5" t="s">
        <v>60</v>
      </c>
      <c r="AQ141" s="5" t="str">
        <f t="shared" si="21"/>
        <v>Issue_pending</v>
      </c>
      <c r="AR141" s="5" t="str">
        <f t="shared" si="22"/>
        <v>Issue_pending</v>
      </c>
      <c r="AS141" s="5" t="str">
        <f t="shared" si="23"/>
        <v>Issue_pending</v>
      </c>
      <c r="AT141" s="5">
        <f t="shared" ca="1" si="28"/>
        <v>30</v>
      </c>
      <c r="AU141" s="5" t="str">
        <f t="shared" ca="1" si="29"/>
        <v>&gt;20 days</v>
      </c>
      <c r="AZ141" s="3" t="s">
        <v>78</v>
      </c>
      <c r="BA141" s="64">
        <v>18</v>
      </c>
      <c r="BB141" s="64">
        <v>5</v>
      </c>
      <c r="BC141" s="64">
        <v>23</v>
      </c>
    </row>
    <row r="142" spans="1:55" x14ac:dyDescent="0.3">
      <c r="A142" s="5">
        <v>75760508244</v>
      </c>
      <c r="B142" s="6">
        <v>45917</v>
      </c>
      <c r="C142" s="11">
        <v>0.66685185185185181</v>
      </c>
      <c r="D142" s="5" t="s">
        <v>26</v>
      </c>
      <c r="E142" s="11">
        <v>45923</v>
      </c>
      <c r="F142" s="11">
        <v>0.59074074074074079</v>
      </c>
      <c r="G142" s="5" t="s">
        <v>18</v>
      </c>
      <c r="H142" s="5" t="s">
        <v>18</v>
      </c>
      <c r="I142" s="5" t="s">
        <v>27</v>
      </c>
      <c r="J142" s="5">
        <v>8071769843</v>
      </c>
      <c r="K142" s="5" t="s">
        <v>369</v>
      </c>
      <c r="L142" s="5" t="s">
        <v>220</v>
      </c>
      <c r="M142" s="5" t="s">
        <v>22</v>
      </c>
      <c r="N142" s="5" t="s">
        <v>203</v>
      </c>
      <c r="O142" s="5">
        <v>2</v>
      </c>
      <c r="P142" s="5" t="s">
        <v>24</v>
      </c>
      <c r="Q142" s="5" t="s">
        <v>25</v>
      </c>
      <c r="U142" s="5">
        <v>75691751878</v>
      </c>
      <c r="V142" s="11">
        <v>45901</v>
      </c>
      <c r="W142" s="11">
        <v>0.59788194444444442</v>
      </c>
      <c r="X142" s="5">
        <f t="shared" si="20"/>
        <v>9</v>
      </c>
      <c r="Y142" s="5">
        <f t="shared" si="24"/>
        <v>36</v>
      </c>
      <c r="Z142" s="5">
        <f t="shared" si="25"/>
        <v>1</v>
      </c>
      <c r="AA142" s="5">
        <f t="shared" si="26"/>
        <v>2</v>
      </c>
      <c r="AB142" s="5" t="str">
        <f t="shared" si="27"/>
        <v>14 - 15 hr</v>
      </c>
      <c r="AC142" s="5" t="s">
        <v>46</v>
      </c>
      <c r="AD142" s="11">
        <v>45906</v>
      </c>
      <c r="AE142" s="11">
        <v>0.66996527777777781</v>
      </c>
      <c r="AF142" s="5" t="s">
        <v>18</v>
      </c>
      <c r="AG142" s="5" t="s">
        <v>18</v>
      </c>
      <c r="AH142" s="5" t="s">
        <v>49</v>
      </c>
      <c r="AI142" s="5">
        <v>7346078411</v>
      </c>
      <c r="AJ142" s="5" t="s">
        <v>53</v>
      </c>
      <c r="AK142" s="5" t="s">
        <v>54</v>
      </c>
      <c r="AL142" s="5" t="s">
        <v>33</v>
      </c>
      <c r="AM142" s="5" t="s">
        <v>42</v>
      </c>
      <c r="AN142" s="5">
        <v>4</v>
      </c>
      <c r="AO142" s="5" t="s">
        <v>24</v>
      </c>
      <c r="AP142" s="5" t="s">
        <v>25</v>
      </c>
      <c r="AQ142" s="5">
        <f t="shared" si="21"/>
        <v>121.72999999998137</v>
      </c>
      <c r="AR142" s="5">
        <f t="shared" si="22"/>
        <v>5.07</v>
      </c>
      <c r="AS142" s="5" t="str">
        <f t="shared" si="23"/>
        <v>5-8 days</v>
      </c>
      <c r="AT142" s="5" t="str">
        <f t="shared" ca="1" si="28"/>
        <v>STATUS-COMPLETE</v>
      </c>
      <c r="AU142" s="5" t="str">
        <f t="shared" ca="1" si="29"/>
        <v>STATUS-COMPLETE</v>
      </c>
      <c r="AZ142" s="3" t="s">
        <v>48</v>
      </c>
      <c r="BA142" s="64">
        <v>14</v>
      </c>
      <c r="BB142" s="64">
        <v>8</v>
      </c>
      <c r="BC142" s="64">
        <v>22</v>
      </c>
    </row>
    <row r="143" spans="1:55" x14ac:dyDescent="0.3">
      <c r="A143" s="5">
        <v>75761203124</v>
      </c>
      <c r="B143" s="6">
        <v>45885</v>
      </c>
      <c r="C143" s="11">
        <v>0.3971527777777778</v>
      </c>
      <c r="D143" s="5" t="s">
        <v>78</v>
      </c>
      <c r="E143" s="11"/>
      <c r="F143" s="11"/>
      <c r="G143" s="5" t="s">
        <v>18</v>
      </c>
      <c r="H143" s="5" t="s">
        <v>18</v>
      </c>
      <c r="I143" s="5" t="s">
        <v>49</v>
      </c>
      <c r="J143" s="5">
        <v>7780996231</v>
      </c>
      <c r="K143" s="5" t="s">
        <v>79</v>
      </c>
      <c r="L143" s="5" t="s">
        <v>80</v>
      </c>
      <c r="M143" s="5" t="s">
        <v>29</v>
      </c>
      <c r="N143" s="5" t="s">
        <v>52</v>
      </c>
      <c r="O143" s="5">
        <v>10</v>
      </c>
      <c r="P143" s="5" t="s">
        <v>34</v>
      </c>
      <c r="Q143" s="5" t="s">
        <v>35</v>
      </c>
      <c r="U143" s="5">
        <v>75728786222</v>
      </c>
      <c r="V143" s="11">
        <v>45901</v>
      </c>
      <c r="W143" s="11">
        <v>0.81762731481481477</v>
      </c>
      <c r="X143" s="5">
        <f t="shared" si="20"/>
        <v>9</v>
      </c>
      <c r="Y143" s="5">
        <f t="shared" si="24"/>
        <v>36</v>
      </c>
      <c r="Z143" s="5">
        <f t="shared" si="25"/>
        <v>1</v>
      </c>
      <c r="AA143" s="5">
        <f t="shared" si="26"/>
        <v>2</v>
      </c>
      <c r="AB143" s="5" t="str">
        <f t="shared" si="27"/>
        <v>19 - 20 hr</v>
      </c>
      <c r="AC143" s="5" t="s">
        <v>48</v>
      </c>
      <c r="AD143" s="11">
        <v>45902</v>
      </c>
      <c r="AE143" s="11">
        <v>0.42932870370370368</v>
      </c>
      <c r="AF143" s="5" t="s">
        <v>18</v>
      </c>
      <c r="AG143" s="5" t="s">
        <v>18</v>
      </c>
      <c r="AH143" s="5" t="s">
        <v>49</v>
      </c>
      <c r="AI143" s="5">
        <v>9377148230</v>
      </c>
      <c r="AJ143" s="5" t="s">
        <v>83</v>
      </c>
      <c r="AK143" s="5" t="s">
        <v>54</v>
      </c>
      <c r="AL143" s="5" t="s">
        <v>29</v>
      </c>
      <c r="AM143" s="5" t="s">
        <v>42</v>
      </c>
      <c r="AN143" s="5">
        <v>5</v>
      </c>
      <c r="AO143" s="5" t="s">
        <v>24</v>
      </c>
      <c r="AP143" s="5" t="s">
        <v>25</v>
      </c>
      <c r="AQ143" s="5">
        <f t="shared" si="21"/>
        <v>14.680833333462942</v>
      </c>
      <c r="AR143" s="5">
        <f t="shared" si="22"/>
        <v>0.61</v>
      </c>
      <c r="AS143" s="5" t="str">
        <f t="shared" si="23"/>
        <v>1-4 days</v>
      </c>
      <c r="AT143" s="5" t="str">
        <f t="shared" ca="1" si="28"/>
        <v>STATUS-COMPLETE</v>
      </c>
      <c r="AU143" s="5" t="str">
        <f t="shared" ca="1" si="29"/>
        <v>STATUS-COMPLETE</v>
      </c>
      <c r="AZ143" s="3" t="s">
        <v>17</v>
      </c>
      <c r="BA143" s="64">
        <v>18</v>
      </c>
      <c r="BB143" s="64">
        <v>4</v>
      </c>
      <c r="BC143" s="64">
        <v>22</v>
      </c>
    </row>
    <row r="144" spans="1:55" x14ac:dyDescent="0.3">
      <c r="A144" s="5">
        <v>75765887237</v>
      </c>
      <c r="B144" s="6">
        <v>45903</v>
      </c>
      <c r="C144" s="11">
        <v>0.84164351851851849</v>
      </c>
      <c r="D144" s="5" t="s">
        <v>78</v>
      </c>
      <c r="E144" s="11">
        <v>45909</v>
      </c>
      <c r="F144" s="11">
        <v>0.75892361111111106</v>
      </c>
      <c r="G144" s="5" t="s">
        <v>18</v>
      </c>
      <c r="H144" s="5" t="s">
        <v>18</v>
      </c>
      <c r="I144" s="5" t="s">
        <v>27</v>
      </c>
      <c r="J144" s="5">
        <v>7255790920</v>
      </c>
      <c r="K144" s="5" t="s">
        <v>362</v>
      </c>
      <c r="L144" s="5" t="s">
        <v>348</v>
      </c>
      <c r="M144" s="5" t="s">
        <v>82</v>
      </c>
      <c r="N144" s="5" t="s">
        <v>72</v>
      </c>
      <c r="O144" s="5">
        <v>6</v>
      </c>
      <c r="P144" s="5" t="s">
        <v>24</v>
      </c>
      <c r="Q144" s="5" t="s">
        <v>35</v>
      </c>
      <c r="U144" s="5">
        <v>75967243311</v>
      </c>
      <c r="V144" s="11">
        <v>45901</v>
      </c>
      <c r="W144" s="11">
        <v>0.39165509259259257</v>
      </c>
      <c r="X144" s="5">
        <f t="shared" si="20"/>
        <v>9</v>
      </c>
      <c r="Y144" s="5">
        <f t="shared" si="24"/>
        <v>36</v>
      </c>
      <c r="Z144" s="5">
        <f t="shared" si="25"/>
        <v>1</v>
      </c>
      <c r="AA144" s="5">
        <f t="shared" si="26"/>
        <v>2</v>
      </c>
      <c r="AB144" s="5" t="str">
        <f t="shared" si="27"/>
        <v>9 - 10 hr</v>
      </c>
      <c r="AC144" s="5" t="s">
        <v>78</v>
      </c>
      <c r="AD144" s="11">
        <v>45905</v>
      </c>
      <c r="AE144" s="11">
        <v>0.69488425925925923</v>
      </c>
      <c r="AF144" s="5" t="s">
        <v>18</v>
      </c>
      <c r="AG144" s="5" t="s">
        <v>18</v>
      </c>
      <c r="AH144" s="5" t="s">
        <v>27</v>
      </c>
      <c r="AI144" s="5">
        <v>7566862173</v>
      </c>
      <c r="AJ144" s="5" t="s">
        <v>331</v>
      </c>
      <c r="AK144" s="5" t="s">
        <v>189</v>
      </c>
      <c r="AL144" s="5" t="s">
        <v>22</v>
      </c>
      <c r="AM144" s="5" t="s">
        <v>86</v>
      </c>
      <c r="AN144" s="5">
        <v>10</v>
      </c>
      <c r="AO144" s="5" t="s">
        <v>24</v>
      </c>
      <c r="AP144" s="5" t="s">
        <v>25</v>
      </c>
      <c r="AQ144" s="5">
        <f t="shared" si="21"/>
        <v>103.27750000002561</v>
      </c>
      <c r="AR144" s="5">
        <f t="shared" si="22"/>
        <v>4.3</v>
      </c>
      <c r="AS144" s="5" t="str">
        <f t="shared" si="23"/>
        <v>5-8 days</v>
      </c>
      <c r="AT144" s="5" t="str">
        <f t="shared" ca="1" si="28"/>
        <v>STATUS-COMPLETE</v>
      </c>
      <c r="AU144" s="5" t="str">
        <f t="shared" ca="1" si="29"/>
        <v>STATUS-COMPLETE</v>
      </c>
      <c r="AZ144" s="3" t="s">
        <v>95</v>
      </c>
      <c r="BA144" s="64">
        <v>16</v>
      </c>
      <c r="BB144" s="64">
        <v>5</v>
      </c>
      <c r="BC144" s="64">
        <v>21</v>
      </c>
    </row>
    <row r="145" spans="1:56" x14ac:dyDescent="0.3">
      <c r="A145" s="5">
        <v>75770405910</v>
      </c>
      <c r="B145" s="6">
        <v>45899</v>
      </c>
      <c r="C145" s="11">
        <v>0.39590277777777777</v>
      </c>
      <c r="D145" s="5"/>
      <c r="E145" s="11"/>
      <c r="F145" s="11"/>
      <c r="G145" s="5" t="s">
        <v>18</v>
      </c>
      <c r="H145" s="5" t="s">
        <v>18</v>
      </c>
      <c r="I145" s="5" t="s">
        <v>49</v>
      </c>
      <c r="J145" s="5">
        <v>8786600854</v>
      </c>
      <c r="K145" s="5" t="s">
        <v>299</v>
      </c>
      <c r="L145" s="5" t="s">
        <v>244</v>
      </c>
      <c r="M145" s="5" t="s">
        <v>82</v>
      </c>
      <c r="N145" s="5" t="s">
        <v>66</v>
      </c>
      <c r="O145" s="5">
        <v>7</v>
      </c>
      <c r="P145" s="5" t="s">
        <v>34</v>
      </c>
      <c r="Q145" s="5" t="s">
        <v>35</v>
      </c>
      <c r="U145" s="5">
        <v>75554460628</v>
      </c>
      <c r="V145" s="11">
        <v>45901</v>
      </c>
      <c r="W145" s="11">
        <v>0.77688657407407402</v>
      </c>
      <c r="X145" s="5">
        <f t="shared" si="20"/>
        <v>9</v>
      </c>
      <c r="Y145" s="5">
        <f t="shared" si="24"/>
        <v>36</v>
      </c>
      <c r="Z145" s="5">
        <f t="shared" si="25"/>
        <v>1</v>
      </c>
      <c r="AA145" s="5">
        <f t="shared" si="26"/>
        <v>2</v>
      </c>
      <c r="AB145" s="5" t="str">
        <f t="shared" si="27"/>
        <v>18 - 19 hr</v>
      </c>
      <c r="AC145" s="5" t="s">
        <v>55</v>
      </c>
      <c r="AD145" s="11">
        <v>45909</v>
      </c>
      <c r="AE145" s="11">
        <v>0.38283564814814813</v>
      </c>
      <c r="AF145" s="5" t="s">
        <v>18</v>
      </c>
      <c r="AG145" s="5" t="s">
        <v>18</v>
      </c>
      <c r="AH145" s="5" t="s">
        <v>49</v>
      </c>
      <c r="AI145" s="5">
        <v>7166569717</v>
      </c>
      <c r="AJ145" s="5" t="s">
        <v>382</v>
      </c>
      <c r="AK145" s="5" t="s">
        <v>69</v>
      </c>
      <c r="AL145" s="5" t="s">
        <v>29</v>
      </c>
      <c r="AM145" s="5" t="s">
        <v>52</v>
      </c>
      <c r="AN145" s="5">
        <v>9</v>
      </c>
      <c r="AO145" s="5" t="s">
        <v>24</v>
      </c>
      <c r="AP145" s="5" t="s">
        <v>25</v>
      </c>
      <c r="AQ145" s="5">
        <f t="shared" si="21"/>
        <v>182.54277777776588</v>
      </c>
      <c r="AR145" s="5">
        <f t="shared" si="22"/>
        <v>7.61</v>
      </c>
      <c r="AS145" s="5" t="str">
        <f t="shared" si="23"/>
        <v>5-8 days</v>
      </c>
      <c r="AT145" s="5" t="str">
        <f t="shared" ca="1" si="28"/>
        <v>STATUS-COMPLETE</v>
      </c>
      <c r="AU145" s="5" t="str">
        <f t="shared" ca="1" si="29"/>
        <v>STATUS-COMPLETE</v>
      </c>
      <c r="AZ145" s="3" t="s">
        <v>58</v>
      </c>
      <c r="BA145" s="64">
        <v>12</v>
      </c>
      <c r="BB145" s="64">
        <v>7</v>
      </c>
      <c r="BC145" s="64">
        <v>19</v>
      </c>
    </row>
    <row r="146" spans="1:56" x14ac:dyDescent="0.3">
      <c r="A146" s="5">
        <v>75771048258</v>
      </c>
      <c r="B146" s="6">
        <v>45921</v>
      </c>
      <c r="C146" s="11">
        <v>0.7636574074074074</v>
      </c>
      <c r="D146" s="5" t="s">
        <v>55</v>
      </c>
      <c r="E146" s="11">
        <v>45926</v>
      </c>
      <c r="F146" s="11">
        <v>0.71532407407407406</v>
      </c>
      <c r="G146" s="5" t="s">
        <v>18</v>
      </c>
      <c r="H146" s="5" t="s">
        <v>18</v>
      </c>
      <c r="I146" s="5" t="s">
        <v>49</v>
      </c>
      <c r="J146" s="5">
        <v>9964873967</v>
      </c>
      <c r="K146" s="5" t="s">
        <v>126</v>
      </c>
      <c r="L146" s="5" t="s">
        <v>101</v>
      </c>
      <c r="M146" s="5" t="s">
        <v>29</v>
      </c>
      <c r="N146" s="5" t="s">
        <v>102</v>
      </c>
      <c r="O146" s="5">
        <v>7</v>
      </c>
      <c r="P146" s="5" t="s">
        <v>24</v>
      </c>
      <c r="Q146" s="5" t="s">
        <v>25</v>
      </c>
      <c r="U146" s="5">
        <v>75958260221</v>
      </c>
      <c r="V146" s="11">
        <v>45902</v>
      </c>
      <c r="W146" s="11">
        <v>0.73872685185185183</v>
      </c>
      <c r="X146" s="5">
        <f t="shared" si="20"/>
        <v>9</v>
      </c>
      <c r="Y146" s="5">
        <f t="shared" si="24"/>
        <v>36</v>
      </c>
      <c r="Z146" s="5">
        <f t="shared" si="25"/>
        <v>2</v>
      </c>
      <c r="AA146" s="5">
        <f t="shared" si="26"/>
        <v>3</v>
      </c>
      <c r="AB146" s="5" t="str">
        <f t="shared" si="27"/>
        <v>17 - 18 hr</v>
      </c>
      <c r="AC146" s="5" t="s">
        <v>26</v>
      </c>
      <c r="AD146" s="11">
        <v>45912</v>
      </c>
      <c r="AE146" s="11">
        <v>0.51113425925925926</v>
      </c>
      <c r="AF146" s="5" t="s">
        <v>18</v>
      </c>
      <c r="AG146" s="5" t="s">
        <v>18</v>
      </c>
      <c r="AH146" s="5" t="s">
        <v>27</v>
      </c>
      <c r="AI146" s="5">
        <v>8564319318</v>
      </c>
      <c r="AJ146" s="5" t="s">
        <v>28</v>
      </c>
      <c r="AK146" s="5" t="s">
        <v>21</v>
      </c>
      <c r="AL146" s="5" t="s">
        <v>29</v>
      </c>
      <c r="AM146" s="5" t="s">
        <v>23</v>
      </c>
      <c r="AN146" s="5">
        <v>3</v>
      </c>
      <c r="AO146" s="5" t="s">
        <v>24</v>
      </c>
      <c r="AP146" s="5" t="s">
        <v>25</v>
      </c>
      <c r="AQ146" s="5">
        <f t="shared" si="21"/>
        <v>234.53777777776122</v>
      </c>
      <c r="AR146" s="5">
        <f t="shared" si="22"/>
        <v>9.77</v>
      </c>
      <c r="AS146" s="5" t="str">
        <f t="shared" si="23"/>
        <v>9-12 days</v>
      </c>
      <c r="AT146" s="5" t="str">
        <f t="shared" ca="1" si="28"/>
        <v>STATUS-COMPLETE</v>
      </c>
      <c r="AU146" s="5" t="str">
        <f t="shared" ca="1" si="29"/>
        <v>STATUS-COMPLETE</v>
      </c>
      <c r="AZ146" s="3" t="s">
        <v>26</v>
      </c>
      <c r="BA146" s="64">
        <v>13</v>
      </c>
      <c r="BB146" s="64">
        <v>5</v>
      </c>
      <c r="BC146" s="64">
        <v>18</v>
      </c>
    </row>
    <row r="147" spans="1:56" x14ac:dyDescent="0.3">
      <c r="A147" s="5">
        <v>75775932035</v>
      </c>
      <c r="B147" s="6">
        <v>45902</v>
      </c>
      <c r="C147" s="11">
        <v>0.72438657407407403</v>
      </c>
      <c r="D147" s="5" t="s">
        <v>30</v>
      </c>
      <c r="E147" s="11">
        <v>45913</v>
      </c>
      <c r="F147" s="11">
        <v>0.67701388888888892</v>
      </c>
      <c r="G147" s="5" t="s">
        <v>18</v>
      </c>
      <c r="H147" s="5" t="s">
        <v>18</v>
      </c>
      <c r="I147" s="5" t="s">
        <v>49</v>
      </c>
      <c r="J147" s="5">
        <v>9465740756</v>
      </c>
      <c r="K147" s="5" t="s">
        <v>154</v>
      </c>
      <c r="L147" s="5" t="s">
        <v>155</v>
      </c>
      <c r="M147" s="5" t="s">
        <v>22</v>
      </c>
      <c r="N147" s="5" t="s">
        <v>102</v>
      </c>
      <c r="O147" s="5">
        <v>7</v>
      </c>
      <c r="P147" s="5" t="s">
        <v>24</v>
      </c>
      <c r="Q147" s="5" t="s">
        <v>25</v>
      </c>
      <c r="U147" s="5">
        <v>75775932035</v>
      </c>
      <c r="V147" s="11">
        <v>45902</v>
      </c>
      <c r="W147" s="11">
        <v>0.72438657407407403</v>
      </c>
      <c r="X147" s="5">
        <f t="shared" si="20"/>
        <v>9</v>
      </c>
      <c r="Y147" s="5">
        <f t="shared" si="24"/>
        <v>36</v>
      </c>
      <c r="Z147" s="5">
        <f t="shared" si="25"/>
        <v>2</v>
      </c>
      <c r="AA147" s="5">
        <f t="shared" si="26"/>
        <v>3</v>
      </c>
      <c r="AB147" s="5" t="str">
        <f t="shared" si="27"/>
        <v>17 - 18 hr</v>
      </c>
      <c r="AC147" s="5" t="s">
        <v>30</v>
      </c>
      <c r="AD147" s="11">
        <v>45913</v>
      </c>
      <c r="AE147" s="11">
        <v>0.67701388888888892</v>
      </c>
      <c r="AF147" s="5" t="s">
        <v>18</v>
      </c>
      <c r="AG147" s="5" t="s">
        <v>18</v>
      </c>
      <c r="AH147" s="5" t="s">
        <v>49</v>
      </c>
      <c r="AI147" s="5">
        <v>9465740756</v>
      </c>
      <c r="AJ147" s="5" t="s">
        <v>154</v>
      </c>
      <c r="AK147" s="5" t="s">
        <v>155</v>
      </c>
      <c r="AL147" s="5" t="s">
        <v>22</v>
      </c>
      <c r="AM147" s="5" t="s">
        <v>102</v>
      </c>
      <c r="AN147" s="5">
        <v>7</v>
      </c>
      <c r="AO147" s="5" t="s">
        <v>24</v>
      </c>
      <c r="AP147" s="5" t="s">
        <v>25</v>
      </c>
      <c r="AQ147" s="5">
        <f t="shared" si="21"/>
        <v>262.86305555555737</v>
      </c>
      <c r="AR147" s="5">
        <f t="shared" si="22"/>
        <v>10.95</v>
      </c>
      <c r="AS147" s="5" t="str">
        <f t="shared" si="23"/>
        <v>9-12 days</v>
      </c>
      <c r="AT147" s="5" t="str">
        <f t="shared" ca="1" si="28"/>
        <v>STATUS-COMPLETE</v>
      </c>
      <c r="AU147" s="5" t="str">
        <f t="shared" ca="1" si="29"/>
        <v>STATUS-COMPLETE</v>
      </c>
      <c r="AZ147" s="3" t="s">
        <v>46</v>
      </c>
      <c r="BA147" s="64">
        <v>15</v>
      </c>
      <c r="BB147" s="64">
        <v>2</v>
      </c>
      <c r="BC147" s="64">
        <v>17</v>
      </c>
    </row>
    <row r="148" spans="1:56" x14ac:dyDescent="0.3">
      <c r="A148" s="5">
        <v>75777895080</v>
      </c>
      <c r="B148" s="6">
        <v>45874</v>
      </c>
      <c r="C148" s="11">
        <v>0.71133101851851854</v>
      </c>
      <c r="D148" s="5" t="s">
        <v>48</v>
      </c>
      <c r="E148" s="11">
        <v>45885</v>
      </c>
      <c r="F148" s="11">
        <v>0.57658564814814817</v>
      </c>
      <c r="G148" s="5" t="s">
        <v>18</v>
      </c>
      <c r="H148" s="5" t="s">
        <v>18</v>
      </c>
      <c r="I148" s="5" t="s">
        <v>49</v>
      </c>
      <c r="J148" s="5">
        <v>8940955281</v>
      </c>
      <c r="K148" s="5" t="s">
        <v>169</v>
      </c>
      <c r="L148" s="5" t="s">
        <v>170</v>
      </c>
      <c r="M148" s="5" t="s">
        <v>22</v>
      </c>
      <c r="N148" s="5" t="s">
        <v>66</v>
      </c>
      <c r="O148" s="5">
        <v>6</v>
      </c>
      <c r="P148" s="5" t="s">
        <v>24</v>
      </c>
      <c r="Q148" s="5" t="s">
        <v>25</v>
      </c>
      <c r="U148" s="5">
        <v>75592486308</v>
      </c>
      <c r="V148" s="11">
        <v>45902</v>
      </c>
      <c r="W148" s="11">
        <v>0.45701388888888889</v>
      </c>
      <c r="X148" s="5">
        <f t="shared" si="20"/>
        <v>9</v>
      </c>
      <c r="Y148" s="5">
        <f t="shared" si="24"/>
        <v>36</v>
      </c>
      <c r="Z148" s="5">
        <f t="shared" si="25"/>
        <v>2</v>
      </c>
      <c r="AA148" s="5">
        <f t="shared" si="26"/>
        <v>3</v>
      </c>
      <c r="AB148" s="5" t="str">
        <f t="shared" si="27"/>
        <v>10 - 11 hr</v>
      </c>
      <c r="AC148" s="5" t="s">
        <v>46</v>
      </c>
      <c r="AD148" s="11"/>
      <c r="AE148" s="11"/>
      <c r="AF148" s="5" t="s">
        <v>18</v>
      </c>
      <c r="AG148" s="5" t="s">
        <v>18</v>
      </c>
      <c r="AH148" s="5" t="s">
        <v>27</v>
      </c>
      <c r="AI148" s="5">
        <v>7639509845</v>
      </c>
      <c r="AJ148" s="5" t="s">
        <v>278</v>
      </c>
      <c r="AK148" s="5" t="s">
        <v>104</v>
      </c>
      <c r="AL148" s="5" t="s">
        <v>29</v>
      </c>
      <c r="AM148" s="5" t="s">
        <v>72</v>
      </c>
      <c r="AN148" s="5">
        <v>4</v>
      </c>
      <c r="AO148" s="5" t="s">
        <v>34</v>
      </c>
      <c r="AP148" s="5" t="s">
        <v>35</v>
      </c>
      <c r="AQ148" s="5" t="str">
        <f t="shared" si="21"/>
        <v>Issue_pending</v>
      </c>
      <c r="AR148" s="5" t="str">
        <f t="shared" si="22"/>
        <v>Issue_pending</v>
      </c>
      <c r="AS148" s="5" t="str">
        <f t="shared" si="23"/>
        <v>Issue_pending</v>
      </c>
      <c r="AT148" s="5">
        <f t="shared" ca="1" si="28"/>
        <v>28</v>
      </c>
      <c r="AU148" s="5" t="str">
        <f t="shared" ca="1" si="29"/>
        <v>&gt;20 days</v>
      </c>
      <c r="AZ148" s="3" t="s">
        <v>43</v>
      </c>
      <c r="BA148" s="64">
        <v>11</v>
      </c>
      <c r="BB148" s="64">
        <v>4</v>
      </c>
      <c r="BC148" s="64">
        <v>15</v>
      </c>
    </row>
    <row r="149" spans="1:56" x14ac:dyDescent="0.3">
      <c r="A149" s="5">
        <v>75778557676</v>
      </c>
      <c r="B149" s="6">
        <v>45915</v>
      </c>
      <c r="C149" s="11">
        <v>0.76894675925925926</v>
      </c>
      <c r="D149" s="5" t="s">
        <v>43</v>
      </c>
      <c r="E149" s="11">
        <v>45927</v>
      </c>
      <c r="F149" s="11">
        <v>0.68226851851851855</v>
      </c>
      <c r="G149" s="5" t="s">
        <v>18</v>
      </c>
      <c r="H149" s="5" t="s">
        <v>18</v>
      </c>
      <c r="I149" s="5" t="s">
        <v>27</v>
      </c>
      <c r="J149" s="5">
        <v>7322299355</v>
      </c>
      <c r="K149" s="5" t="s">
        <v>201</v>
      </c>
      <c r="L149" s="5" t="s">
        <v>202</v>
      </c>
      <c r="M149" s="5" t="s">
        <v>22</v>
      </c>
      <c r="N149" s="5" t="s">
        <v>203</v>
      </c>
      <c r="O149" s="5">
        <v>6</v>
      </c>
      <c r="P149" s="5" t="s">
        <v>24</v>
      </c>
      <c r="Q149" s="5" t="s">
        <v>25</v>
      </c>
      <c r="U149" s="5">
        <v>75543171768</v>
      </c>
      <c r="V149" s="11">
        <v>45903</v>
      </c>
      <c r="W149" s="11">
        <v>0.69621527777777781</v>
      </c>
      <c r="X149" s="5">
        <f t="shared" si="20"/>
        <v>9</v>
      </c>
      <c r="Y149" s="5">
        <f t="shared" si="24"/>
        <v>36</v>
      </c>
      <c r="Z149" s="5">
        <f t="shared" si="25"/>
        <v>3</v>
      </c>
      <c r="AA149" s="5">
        <f t="shared" si="26"/>
        <v>4</v>
      </c>
      <c r="AB149" s="5" t="str">
        <f t="shared" si="27"/>
        <v>16 - 17 hr</v>
      </c>
      <c r="AC149" s="5" t="s">
        <v>46</v>
      </c>
      <c r="AD149" s="11">
        <v>45912</v>
      </c>
      <c r="AE149" s="11">
        <v>0.54090277777777773</v>
      </c>
      <c r="AF149" s="5" t="s">
        <v>18</v>
      </c>
      <c r="AG149" s="5" t="s">
        <v>18</v>
      </c>
      <c r="AH149" s="5" t="s">
        <v>36</v>
      </c>
      <c r="AI149" s="5">
        <v>9557448229</v>
      </c>
      <c r="AJ149" s="5" t="s">
        <v>47</v>
      </c>
      <c r="AK149" s="5" t="s">
        <v>41</v>
      </c>
      <c r="AL149" s="5" t="s">
        <v>22</v>
      </c>
      <c r="AM149" s="5" t="s">
        <v>42</v>
      </c>
      <c r="AN149" s="5">
        <v>9</v>
      </c>
      <c r="AO149" s="5" t="s">
        <v>24</v>
      </c>
      <c r="AP149" s="5" t="s">
        <v>25</v>
      </c>
      <c r="AQ149" s="5">
        <f t="shared" si="21"/>
        <v>212.27250000002095</v>
      </c>
      <c r="AR149" s="5">
        <f t="shared" si="22"/>
        <v>8.84</v>
      </c>
      <c r="AS149" s="5" t="str">
        <f t="shared" si="23"/>
        <v>9-12 days</v>
      </c>
      <c r="AT149" s="5" t="str">
        <f t="shared" ca="1" si="28"/>
        <v>STATUS-COMPLETE</v>
      </c>
      <c r="AU149" s="5" t="str">
        <f t="shared" ca="1" si="29"/>
        <v>STATUS-COMPLETE</v>
      </c>
      <c r="AZ149" s="3" t="s">
        <v>665</v>
      </c>
      <c r="BA149" s="64"/>
      <c r="BB149" s="64">
        <v>5</v>
      </c>
      <c r="BC149" s="64">
        <v>5</v>
      </c>
    </row>
    <row r="150" spans="1:56" x14ac:dyDescent="0.3">
      <c r="A150" s="5">
        <v>75780968571</v>
      </c>
      <c r="B150" s="6">
        <v>45887</v>
      </c>
      <c r="C150" s="11">
        <v>0.46614583333333331</v>
      </c>
      <c r="D150" s="5" t="s">
        <v>58</v>
      </c>
      <c r="E150" s="11">
        <v>45899</v>
      </c>
      <c r="F150" s="11">
        <v>0.40849537037037037</v>
      </c>
      <c r="G150" s="5" t="s">
        <v>18</v>
      </c>
      <c r="H150" s="5" t="s">
        <v>18</v>
      </c>
      <c r="I150" s="5" t="s">
        <v>36</v>
      </c>
      <c r="J150" s="5">
        <v>8365818354</v>
      </c>
      <c r="K150" s="5" t="s">
        <v>360</v>
      </c>
      <c r="L150" s="5" t="s">
        <v>229</v>
      </c>
      <c r="M150" s="5" t="s">
        <v>29</v>
      </c>
      <c r="N150" s="5" t="s">
        <v>39</v>
      </c>
      <c r="O150" s="5">
        <v>3</v>
      </c>
      <c r="P150" s="5" t="s">
        <v>24</v>
      </c>
      <c r="Q150" s="5" t="s">
        <v>25</v>
      </c>
      <c r="U150" s="5">
        <v>75517999418</v>
      </c>
      <c r="V150" s="11">
        <v>45903</v>
      </c>
      <c r="W150" s="11">
        <v>0.50101851851851853</v>
      </c>
      <c r="X150" s="5">
        <f t="shared" si="20"/>
        <v>9</v>
      </c>
      <c r="Y150" s="5">
        <f t="shared" si="24"/>
        <v>36</v>
      </c>
      <c r="Z150" s="5">
        <f t="shared" si="25"/>
        <v>3</v>
      </c>
      <c r="AA150" s="5">
        <f t="shared" si="26"/>
        <v>4</v>
      </c>
      <c r="AB150" s="5" t="str">
        <f t="shared" si="27"/>
        <v>12 - 13 hr</v>
      </c>
      <c r="AC150" s="5" t="s">
        <v>78</v>
      </c>
      <c r="AD150" s="11">
        <v>45913</v>
      </c>
      <c r="AE150" s="11">
        <v>0.63185185185185189</v>
      </c>
      <c r="AF150" s="5" t="s">
        <v>18</v>
      </c>
      <c r="AG150" s="5" t="s">
        <v>18</v>
      </c>
      <c r="AH150" s="5" t="s">
        <v>27</v>
      </c>
      <c r="AI150" s="5">
        <v>8798647685</v>
      </c>
      <c r="AJ150" s="5" t="s">
        <v>232</v>
      </c>
      <c r="AK150" s="5" t="s">
        <v>233</v>
      </c>
      <c r="AL150" s="5" t="s">
        <v>82</v>
      </c>
      <c r="AM150" s="5" t="s">
        <v>94</v>
      </c>
      <c r="AN150" s="5">
        <v>5</v>
      </c>
      <c r="AO150" s="5" t="s">
        <v>24</v>
      </c>
      <c r="AP150" s="5" t="s">
        <v>25</v>
      </c>
      <c r="AQ150" s="5">
        <f t="shared" si="21"/>
        <v>243.14000000007218</v>
      </c>
      <c r="AR150" s="5">
        <f t="shared" si="22"/>
        <v>10.130000000000001</v>
      </c>
      <c r="AS150" s="5" t="str">
        <f t="shared" si="23"/>
        <v>9-12 days</v>
      </c>
      <c r="AT150" s="5" t="str">
        <f t="shared" ca="1" si="28"/>
        <v>STATUS-COMPLETE</v>
      </c>
      <c r="AU150" s="5" t="str">
        <f t="shared" ca="1" si="29"/>
        <v>STATUS-COMPLETE</v>
      </c>
      <c r="AZ150" s="3" t="s">
        <v>392</v>
      </c>
      <c r="BA150" s="64">
        <v>166</v>
      </c>
      <c r="BB150" s="64">
        <v>59</v>
      </c>
      <c r="BC150" s="64">
        <v>225</v>
      </c>
    </row>
    <row r="151" spans="1:56" x14ac:dyDescent="0.3">
      <c r="A151" s="5">
        <v>75796287154</v>
      </c>
      <c r="B151" s="6">
        <v>45920</v>
      </c>
      <c r="C151" s="11">
        <v>0.68842592592592589</v>
      </c>
      <c r="D151" s="5" t="s">
        <v>58</v>
      </c>
      <c r="E151" s="11"/>
      <c r="F151" s="11"/>
      <c r="G151" s="5" t="s">
        <v>18</v>
      </c>
      <c r="H151" s="5" t="s">
        <v>18</v>
      </c>
      <c r="I151" s="5" t="s">
        <v>19</v>
      </c>
      <c r="J151" s="5">
        <v>7010621799</v>
      </c>
      <c r="K151" s="5" t="s">
        <v>318</v>
      </c>
      <c r="L151" s="5" t="s">
        <v>319</v>
      </c>
      <c r="M151" s="5" t="s">
        <v>29</v>
      </c>
      <c r="N151" s="5" t="s">
        <v>23</v>
      </c>
      <c r="O151" s="5">
        <v>3</v>
      </c>
      <c r="P151" s="5" t="s">
        <v>34</v>
      </c>
      <c r="Q151" s="5" t="s">
        <v>67</v>
      </c>
      <c r="U151" s="5">
        <v>75765887237</v>
      </c>
      <c r="V151" s="11">
        <v>45903</v>
      </c>
      <c r="W151" s="11">
        <v>0.84164351851851849</v>
      </c>
      <c r="X151" s="5">
        <f t="shared" si="20"/>
        <v>9</v>
      </c>
      <c r="Y151" s="5">
        <f t="shared" si="24"/>
        <v>36</v>
      </c>
      <c r="Z151" s="5">
        <f t="shared" si="25"/>
        <v>3</v>
      </c>
      <c r="AA151" s="5">
        <f t="shared" si="26"/>
        <v>4</v>
      </c>
      <c r="AB151" s="5" t="str">
        <f t="shared" si="27"/>
        <v>20 - 21 hr</v>
      </c>
      <c r="AC151" s="5" t="s">
        <v>78</v>
      </c>
      <c r="AD151" s="11">
        <v>45909</v>
      </c>
      <c r="AE151" s="11">
        <v>0.75892361111111106</v>
      </c>
      <c r="AF151" s="5" t="s">
        <v>18</v>
      </c>
      <c r="AG151" s="5" t="s">
        <v>18</v>
      </c>
      <c r="AH151" s="5" t="s">
        <v>27</v>
      </c>
      <c r="AI151" s="5">
        <v>7255790920</v>
      </c>
      <c r="AJ151" s="5" t="s">
        <v>362</v>
      </c>
      <c r="AK151" s="5" t="s">
        <v>348</v>
      </c>
      <c r="AL151" s="5" t="s">
        <v>82</v>
      </c>
      <c r="AM151" s="5" t="s">
        <v>72</v>
      </c>
      <c r="AN151" s="5">
        <v>6</v>
      </c>
      <c r="AO151" s="5" t="s">
        <v>24</v>
      </c>
      <c r="AP151" s="5" t="s">
        <v>25</v>
      </c>
      <c r="AQ151" s="5">
        <f t="shared" si="21"/>
        <v>142.01472222211305</v>
      </c>
      <c r="AR151" s="5">
        <f t="shared" si="22"/>
        <v>5.92</v>
      </c>
      <c r="AS151" s="5" t="str">
        <f t="shared" si="23"/>
        <v>5-8 days</v>
      </c>
      <c r="AT151" s="5" t="str">
        <f t="shared" ca="1" si="28"/>
        <v>STATUS-COMPLETE</v>
      </c>
      <c r="AU151" s="5" t="str">
        <f t="shared" ca="1" si="29"/>
        <v>STATUS-COMPLETE</v>
      </c>
    </row>
    <row r="152" spans="1:56" x14ac:dyDescent="0.3">
      <c r="A152" s="5">
        <v>75802074351</v>
      </c>
      <c r="B152" s="6">
        <v>45872</v>
      </c>
      <c r="C152" s="11">
        <v>0.64508101851851851</v>
      </c>
      <c r="D152" s="5" t="s">
        <v>55</v>
      </c>
      <c r="E152" s="11">
        <v>45875</v>
      </c>
      <c r="F152" s="11">
        <v>0.49283564814814818</v>
      </c>
      <c r="G152" s="5" t="s">
        <v>18</v>
      </c>
      <c r="H152" s="5" t="s">
        <v>18</v>
      </c>
      <c r="I152" s="5" t="s">
        <v>27</v>
      </c>
      <c r="J152" s="5">
        <v>8613385303</v>
      </c>
      <c r="K152" s="5" t="s">
        <v>257</v>
      </c>
      <c r="L152" s="5" t="s">
        <v>258</v>
      </c>
      <c r="M152" s="5" t="s">
        <v>29</v>
      </c>
      <c r="N152" s="5" t="s">
        <v>76</v>
      </c>
      <c r="O152" s="5">
        <v>3</v>
      </c>
      <c r="P152" s="5" t="s">
        <v>24</v>
      </c>
      <c r="Q152" s="5" t="s">
        <v>25</v>
      </c>
      <c r="U152" s="5">
        <v>75720890008</v>
      </c>
      <c r="V152" s="11">
        <v>45903</v>
      </c>
      <c r="W152" s="11">
        <v>0.4346875</v>
      </c>
      <c r="X152" s="5">
        <f t="shared" si="20"/>
        <v>9</v>
      </c>
      <c r="Y152" s="5">
        <f t="shared" si="24"/>
        <v>36</v>
      </c>
      <c r="Z152" s="5">
        <f t="shared" si="25"/>
        <v>3</v>
      </c>
      <c r="AA152" s="5">
        <f t="shared" si="26"/>
        <v>4</v>
      </c>
      <c r="AB152" s="5" t="str">
        <f t="shared" si="27"/>
        <v>10 - 11 hr</v>
      </c>
      <c r="AC152" s="5" t="s">
        <v>43</v>
      </c>
      <c r="AD152" s="11">
        <v>45912</v>
      </c>
      <c r="AE152" s="11">
        <v>0.69231481481481483</v>
      </c>
      <c r="AF152" s="5" t="s">
        <v>18</v>
      </c>
      <c r="AG152" s="5" t="s">
        <v>18</v>
      </c>
      <c r="AH152" s="5" t="s">
        <v>36</v>
      </c>
      <c r="AI152" s="5">
        <v>9156509381</v>
      </c>
      <c r="AJ152" s="5" t="s">
        <v>378</v>
      </c>
      <c r="AK152" s="5" t="s">
        <v>54</v>
      </c>
      <c r="AL152" s="5" t="s">
        <v>82</v>
      </c>
      <c r="AM152" s="5" t="s">
        <v>42</v>
      </c>
      <c r="AN152" s="5">
        <v>1</v>
      </c>
      <c r="AO152" s="5" t="s">
        <v>24</v>
      </c>
      <c r="AP152" s="5" t="s">
        <v>25</v>
      </c>
      <c r="AQ152" s="5">
        <f t="shared" si="21"/>
        <v>222.18305555556435</v>
      </c>
      <c r="AR152" s="5">
        <f t="shared" si="22"/>
        <v>9.26</v>
      </c>
      <c r="AS152" s="5" t="str">
        <f t="shared" si="23"/>
        <v>9-12 days</v>
      </c>
      <c r="AT152" s="5" t="str">
        <f t="shared" ca="1" si="28"/>
        <v>STATUS-COMPLETE</v>
      </c>
      <c r="AU152" s="5" t="str">
        <f t="shared" ca="1" si="29"/>
        <v>STATUS-COMPLETE</v>
      </c>
    </row>
    <row r="153" spans="1:56" x14ac:dyDescent="0.3">
      <c r="A153" s="5">
        <v>75803935666</v>
      </c>
      <c r="B153" s="6">
        <v>45912</v>
      </c>
      <c r="C153" s="11">
        <v>0.64538194444444441</v>
      </c>
      <c r="D153" s="5" t="s">
        <v>95</v>
      </c>
      <c r="E153" s="11">
        <v>45915</v>
      </c>
      <c r="F153" s="11">
        <v>0.3790162037037037</v>
      </c>
      <c r="G153" s="5" t="s">
        <v>18</v>
      </c>
      <c r="H153" s="5" t="s">
        <v>18</v>
      </c>
      <c r="I153" s="5" t="s">
        <v>49</v>
      </c>
      <c r="J153" s="5">
        <v>8589365925</v>
      </c>
      <c r="K153" s="5" t="s">
        <v>157</v>
      </c>
      <c r="L153" s="5" t="s">
        <v>145</v>
      </c>
      <c r="M153" s="5" t="s">
        <v>82</v>
      </c>
      <c r="N153" s="5" t="s">
        <v>52</v>
      </c>
      <c r="O153" s="5">
        <v>3</v>
      </c>
      <c r="P153" s="5" t="s">
        <v>24</v>
      </c>
      <c r="Q153" s="5" t="s">
        <v>25</v>
      </c>
      <c r="U153" s="5">
        <v>75455417727</v>
      </c>
      <c r="V153" s="11">
        <v>45904</v>
      </c>
      <c r="W153" s="11">
        <v>0.5122106481481481</v>
      </c>
      <c r="X153" s="5">
        <f t="shared" si="20"/>
        <v>9</v>
      </c>
      <c r="Y153" s="5">
        <f t="shared" si="24"/>
        <v>36</v>
      </c>
      <c r="Z153" s="5">
        <f t="shared" si="25"/>
        <v>4</v>
      </c>
      <c r="AA153" s="5">
        <f t="shared" si="26"/>
        <v>5</v>
      </c>
      <c r="AB153" s="5" t="str">
        <f t="shared" si="27"/>
        <v>12 - 13 hr</v>
      </c>
      <c r="AC153" s="5" t="s">
        <v>95</v>
      </c>
      <c r="AD153" s="11">
        <v>45905</v>
      </c>
      <c r="AE153" s="11">
        <v>0.52318287037037037</v>
      </c>
      <c r="AF153" s="5" t="s">
        <v>18</v>
      </c>
      <c r="AG153" s="5" t="s">
        <v>18</v>
      </c>
      <c r="AH153" s="5" t="s">
        <v>36</v>
      </c>
      <c r="AI153" s="5">
        <v>8237075775</v>
      </c>
      <c r="AJ153" s="5" t="s">
        <v>107</v>
      </c>
      <c r="AK153" s="5" t="s">
        <v>41</v>
      </c>
      <c r="AL153" s="5" t="s">
        <v>29</v>
      </c>
      <c r="AM153" s="5" t="s">
        <v>42</v>
      </c>
      <c r="AN153" s="5">
        <v>8</v>
      </c>
      <c r="AO153" s="5" t="s">
        <v>24</v>
      </c>
      <c r="AP153" s="5" t="s">
        <v>25</v>
      </c>
      <c r="AQ153" s="5">
        <f t="shared" si="21"/>
        <v>24.263333333248738</v>
      </c>
      <c r="AR153" s="5">
        <f t="shared" si="22"/>
        <v>1.01</v>
      </c>
      <c r="AS153" s="5" t="str">
        <f t="shared" si="23"/>
        <v>1-4 days</v>
      </c>
      <c r="AT153" s="5" t="str">
        <f t="shared" ca="1" si="28"/>
        <v>STATUS-COMPLETE</v>
      </c>
      <c r="AU153" s="5" t="str">
        <f t="shared" ca="1" si="29"/>
        <v>STATUS-COMPLETE</v>
      </c>
    </row>
    <row r="154" spans="1:56" x14ac:dyDescent="0.3">
      <c r="A154" s="5">
        <v>75807903732</v>
      </c>
      <c r="B154" s="6">
        <v>45882</v>
      </c>
      <c r="C154" s="11">
        <v>0.60302083333333334</v>
      </c>
      <c r="D154" s="5" t="s">
        <v>55</v>
      </c>
      <c r="E154" s="11">
        <v>45885</v>
      </c>
      <c r="F154" s="11">
        <v>0.54195601851851849</v>
      </c>
      <c r="G154" s="5" t="s">
        <v>18</v>
      </c>
      <c r="H154" s="5" t="s">
        <v>18</v>
      </c>
      <c r="I154" s="5" t="s">
        <v>49</v>
      </c>
      <c r="J154" s="5">
        <v>9796181989</v>
      </c>
      <c r="K154" s="5" t="s">
        <v>292</v>
      </c>
      <c r="L154" s="5" t="s">
        <v>208</v>
      </c>
      <c r="M154" s="5" t="s">
        <v>33</v>
      </c>
      <c r="N154" s="5" t="s">
        <v>102</v>
      </c>
      <c r="O154" s="5">
        <v>5</v>
      </c>
      <c r="P154" s="5" t="s">
        <v>24</v>
      </c>
      <c r="Q154" s="5" t="s">
        <v>25</v>
      </c>
      <c r="U154" s="5">
        <v>75720364823</v>
      </c>
      <c r="V154" s="11">
        <v>45904</v>
      </c>
      <c r="W154" s="11">
        <v>0.6970601851851852</v>
      </c>
      <c r="X154" s="5">
        <f t="shared" si="20"/>
        <v>9</v>
      </c>
      <c r="Y154" s="5">
        <f t="shared" si="24"/>
        <v>36</v>
      </c>
      <c r="Z154" s="5">
        <f t="shared" si="25"/>
        <v>4</v>
      </c>
      <c r="AA154" s="5">
        <f t="shared" si="26"/>
        <v>5</v>
      </c>
      <c r="AB154" s="5" t="str">
        <f t="shared" si="27"/>
        <v>16 - 17 hr</v>
      </c>
      <c r="AC154" s="5" t="s">
        <v>46</v>
      </c>
      <c r="AD154" s="11">
        <v>45907</v>
      </c>
      <c r="AE154" s="11">
        <v>0.53680555555555554</v>
      </c>
      <c r="AF154" s="5" t="s">
        <v>18</v>
      </c>
      <c r="AG154" s="5" t="s">
        <v>18</v>
      </c>
      <c r="AH154" s="5" t="s">
        <v>27</v>
      </c>
      <c r="AI154" s="5">
        <v>8821616017</v>
      </c>
      <c r="AJ154" s="5" t="s">
        <v>259</v>
      </c>
      <c r="AK154" s="5" t="s">
        <v>210</v>
      </c>
      <c r="AL154" s="5" t="s">
        <v>22</v>
      </c>
      <c r="AM154" s="5" t="s">
        <v>142</v>
      </c>
      <c r="AN154" s="5">
        <v>3</v>
      </c>
      <c r="AO154" s="5" t="s">
        <v>24</v>
      </c>
      <c r="AP154" s="5" t="s">
        <v>25</v>
      </c>
      <c r="AQ154" s="5">
        <f t="shared" si="21"/>
        <v>68.153888888948131</v>
      </c>
      <c r="AR154" s="5">
        <f t="shared" si="22"/>
        <v>2.84</v>
      </c>
      <c r="AS154" s="5" t="str">
        <f t="shared" si="23"/>
        <v>1-4 days</v>
      </c>
      <c r="AT154" s="5" t="str">
        <f t="shared" ca="1" si="28"/>
        <v>STATUS-COMPLETE</v>
      </c>
      <c r="AU154" s="5" t="str">
        <f t="shared" ca="1" si="29"/>
        <v>STATUS-COMPLETE</v>
      </c>
    </row>
    <row r="155" spans="1:56" x14ac:dyDescent="0.3">
      <c r="A155" s="5">
        <v>75809123009</v>
      </c>
      <c r="B155" s="6">
        <v>45870</v>
      </c>
      <c r="C155" s="11">
        <v>0.80770833333333336</v>
      </c>
      <c r="D155" s="5" t="s">
        <v>26</v>
      </c>
      <c r="E155" s="11">
        <v>45872</v>
      </c>
      <c r="F155" s="11">
        <v>0.68313657407407402</v>
      </c>
      <c r="G155" s="5" t="s">
        <v>18</v>
      </c>
      <c r="H155" s="5" t="s">
        <v>18</v>
      </c>
      <c r="I155" s="5" t="s">
        <v>27</v>
      </c>
      <c r="J155" s="5">
        <v>9024977737</v>
      </c>
      <c r="K155" s="5" t="s">
        <v>133</v>
      </c>
      <c r="L155" s="5" t="s">
        <v>121</v>
      </c>
      <c r="M155" s="5" t="s">
        <v>33</v>
      </c>
      <c r="N155" s="5" t="s">
        <v>76</v>
      </c>
      <c r="O155" s="5">
        <v>1</v>
      </c>
      <c r="P155" s="5" t="s">
        <v>24</v>
      </c>
      <c r="Q155" s="5" t="s">
        <v>25</v>
      </c>
      <c r="U155" s="5">
        <v>75990404558</v>
      </c>
      <c r="V155" s="11">
        <v>45905</v>
      </c>
      <c r="W155" s="11">
        <v>0.57822916666666668</v>
      </c>
      <c r="X155" s="5">
        <f t="shared" si="20"/>
        <v>9</v>
      </c>
      <c r="Y155" s="5">
        <f t="shared" si="24"/>
        <v>36</v>
      </c>
      <c r="Z155" s="5">
        <f t="shared" si="25"/>
        <v>5</v>
      </c>
      <c r="AA155" s="5">
        <f t="shared" si="26"/>
        <v>6</v>
      </c>
      <c r="AB155" s="5" t="str">
        <f t="shared" si="27"/>
        <v>13 - 14 hr</v>
      </c>
      <c r="AC155" s="5" t="s">
        <v>58</v>
      </c>
      <c r="AD155" s="11">
        <v>45914</v>
      </c>
      <c r="AE155" s="11">
        <v>0.54472222222222222</v>
      </c>
      <c r="AF155" s="5" t="s">
        <v>18</v>
      </c>
      <c r="AG155" s="5" t="s">
        <v>18</v>
      </c>
      <c r="AH155" s="5" t="s">
        <v>49</v>
      </c>
      <c r="AI155" s="5">
        <v>7510289448</v>
      </c>
      <c r="AJ155" s="5" t="s">
        <v>227</v>
      </c>
      <c r="AK155" s="5" t="s">
        <v>145</v>
      </c>
      <c r="AL155" s="5" t="s">
        <v>29</v>
      </c>
      <c r="AM155" s="5" t="s">
        <v>52</v>
      </c>
      <c r="AN155" s="5">
        <v>2</v>
      </c>
      <c r="AO155" s="5" t="s">
        <v>24</v>
      </c>
      <c r="AP155" s="5" t="s">
        <v>25</v>
      </c>
      <c r="AQ155" s="5">
        <f t="shared" si="21"/>
        <v>215.19583333324408</v>
      </c>
      <c r="AR155" s="5">
        <f t="shared" si="22"/>
        <v>8.9700000000000006</v>
      </c>
      <c r="AS155" s="5" t="str">
        <f t="shared" si="23"/>
        <v>9-12 days</v>
      </c>
      <c r="AT155" s="5" t="str">
        <f t="shared" ca="1" si="28"/>
        <v>STATUS-COMPLETE</v>
      </c>
      <c r="AU155" s="5" t="str">
        <f t="shared" ca="1" si="29"/>
        <v>STATUS-COMPLETE</v>
      </c>
    </row>
    <row r="156" spans="1:56" x14ac:dyDescent="0.3">
      <c r="A156" s="5">
        <v>75812005439</v>
      </c>
      <c r="B156" s="6">
        <v>45893</v>
      </c>
      <c r="C156" s="11">
        <v>0.63299768518518518</v>
      </c>
      <c r="D156" s="5" t="s">
        <v>46</v>
      </c>
      <c r="E156" s="11">
        <v>45902</v>
      </c>
      <c r="F156" s="11">
        <v>0.64349537037037041</v>
      </c>
      <c r="G156" s="5" t="s">
        <v>18</v>
      </c>
      <c r="H156" s="5" t="s">
        <v>18</v>
      </c>
      <c r="I156" s="5" t="s">
        <v>27</v>
      </c>
      <c r="J156" s="5">
        <v>9978271740</v>
      </c>
      <c r="K156" s="5" t="s">
        <v>309</v>
      </c>
      <c r="L156" s="5" t="s">
        <v>141</v>
      </c>
      <c r="M156" s="5" t="s">
        <v>82</v>
      </c>
      <c r="N156" s="5" t="s">
        <v>142</v>
      </c>
      <c r="O156" s="5">
        <v>7</v>
      </c>
      <c r="P156" s="5" t="s">
        <v>24</v>
      </c>
      <c r="Q156" s="5" t="s">
        <v>25</v>
      </c>
      <c r="U156" s="5">
        <v>75946666136</v>
      </c>
      <c r="V156" s="11">
        <v>45905</v>
      </c>
      <c r="W156" s="11">
        <v>0.64724537037037033</v>
      </c>
      <c r="X156" s="5">
        <f t="shared" si="20"/>
        <v>9</v>
      </c>
      <c r="Y156" s="5">
        <f t="shared" si="24"/>
        <v>36</v>
      </c>
      <c r="Z156" s="5">
        <f t="shared" si="25"/>
        <v>5</v>
      </c>
      <c r="AA156" s="5">
        <f t="shared" si="26"/>
        <v>6</v>
      </c>
      <c r="AB156" s="5" t="str">
        <f t="shared" si="27"/>
        <v>15 - 16 hr</v>
      </c>
      <c r="AC156" s="5" t="s">
        <v>43</v>
      </c>
      <c r="AD156" s="11"/>
      <c r="AE156" s="11"/>
      <c r="AF156" s="5" t="s">
        <v>18</v>
      </c>
      <c r="AG156" s="5" t="s">
        <v>18</v>
      </c>
      <c r="AH156" s="5" t="s">
        <v>36</v>
      </c>
      <c r="AI156" s="5">
        <v>7167134213</v>
      </c>
      <c r="AJ156" s="5" t="s">
        <v>228</v>
      </c>
      <c r="AK156" s="5" t="s">
        <v>229</v>
      </c>
      <c r="AL156" s="5" t="s">
        <v>82</v>
      </c>
      <c r="AM156" s="5" t="s">
        <v>39</v>
      </c>
      <c r="AN156" s="5">
        <v>6</v>
      </c>
      <c r="AO156" s="5" t="s">
        <v>34</v>
      </c>
      <c r="AP156" s="5" t="s">
        <v>67</v>
      </c>
      <c r="AQ156" s="5" t="str">
        <f t="shared" si="21"/>
        <v>Issue_pending</v>
      </c>
      <c r="AR156" s="5" t="str">
        <f t="shared" si="22"/>
        <v>Issue_pending</v>
      </c>
      <c r="AS156" s="5" t="str">
        <f t="shared" si="23"/>
        <v>Issue_pending</v>
      </c>
      <c r="AT156" s="5">
        <f t="shared" ca="1" si="28"/>
        <v>25</v>
      </c>
      <c r="AU156" s="5" t="str">
        <f t="shared" ca="1" si="29"/>
        <v>&gt;20 days</v>
      </c>
      <c r="AZ156" s="2" t="s">
        <v>394</v>
      </c>
      <c r="BA156" s="2" t="s">
        <v>393</v>
      </c>
    </row>
    <row r="157" spans="1:56" x14ac:dyDescent="0.3">
      <c r="A157" s="5">
        <v>75816396603</v>
      </c>
      <c r="B157" s="6">
        <v>45875</v>
      </c>
      <c r="C157" s="11">
        <v>0.44927083333333334</v>
      </c>
      <c r="D157" s="5" t="s">
        <v>46</v>
      </c>
      <c r="E157" s="11">
        <v>45881</v>
      </c>
      <c r="F157" s="11">
        <v>0.62520833333333337</v>
      </c>
      <c r="G157" s="5" t="s">
        <v>18</v>
      </c>
      <c r="H157" s="5" t="s">
        <v>18</v>
      </c>
      <c r="I157" s="5" t="s">
        <v>27</v>
      </c>
      <c r="J157" s="5">
        <v>8042571199</v>
      </c>
      <c r="K157" s="5" t="s">
        <v>289</v>
      </c>
      <c r="L157" s="5" t="s">
        <v>290</v>
      </c>
      <c r="M157" s="5" t="s">
        <v>29</v>
      </c>
      <c r="N157" s="5" t="s">
        <v>142</v>
      </c>
      <c r="O157" s="5">
        <v>3</v>
      </c>
      <c r="P157" s="5" t="s">
        <v>24</v>
      </c>
      <c r="Q157" s="5" t="s">
        <v>25</v>
      </c>
      <c r="U157" s="5">
        <v>75716960306</v>
      </c>
      <c r="V157" s="11">
        <v>45905</v>
      </c>
      <c r="W157" s="11">
        <v>0.46690972222222221</v>
      </c>
      <c r="X157" s="5">
        <f t="shared" si="20"/>
        <v>9</v>
      </c>
      <c r="Y157" s="5">
        <f t="shared" si="24"/>
        <v>36</v>
      </c>
      <c r="Z157" s="5">
        <f t="shared" si="25"/>
        <v>5</v>
      </c>
      <c r="AA157" s="5">
        <f t="shared" si="26"/>
        <v>6</v>
      </c>
      <c r="AB157" s="5" t="str">
        <f t="shared" si="27"/>
        <v>11 - 12 hr</v>
      </c>
      <c r="AC157" s="5" t="s">
        <v>26</v>
      </c>
      <c r="AD157" s="11"/>
      <c r="AE157" s="11"/>
      <c r="AF157" s="5" t="s">
        <v>18</v>
      </c>
      <c r="AG157" s="5" t="s">
        <v>18</v>
      </c>
      <c r="AH157" s="5" t="s">
        <v>49</v>
      </c>
      <c r="AI157" s="5">
        <v>8631399401</v>
      </c>
      <c r="AJ157" s="5" t="s">
        <v>274</v>
      </c>
      <c r="AK157" s="5" t="s">
        <v>244</v>
      </c>
      <c r="AL157" s="5" t="s">
        <v>29</v>
      </c>
      <c r="AM157" s="5" t="s">
        <v>66</v>
      </c>
      <c r="AN157" s="5">
        <v>2</v>
      </c>
      <c r="AO157" s="5" t="s">
        <v>34</v>
      </c>
      <c r="AP157" s="5" t="s">
        <v>35</v>
      </c>
      <c r="AQ157" s="5" t="str">
        <f t="shared" si="21"/>
        <v>Issue_pending</v>
      </c>
      <c r="AR157" s="5" t="str">
        <f t="shared" si="22"/>
        <v>Issue_pending</v>
      </c>
      <c r="AS157" s="5" t="str">
        <f t="shared" si="23"/>
        <v>Issue_pending</v>
      </c>
      <c r="AT157" s="5">
        <f t="shared" ca="1" si="28"/>
        <v>25</v>
      </c>
      <c r="AU157" s="5" t="str">
        <f t="shared" ca="1" si="29"/>
        <v>&gt;20 days</v>
      </c>
      <c r="AZ157" s="2" t="s">
        <v>391</v>
      </c>
      <c r="BA157" t="s">
        <v>504</v>
      </c>
      <c r="BB157" t="s">
        <v>505</v>
      </c>
      <c r="BC157" t="s">
        <v>506</v>
      </c>
      <c r="BD157" t="s">
        <v>392</v>
      </c>
    </row>
    <row r="158" spans="1:56" x14ac:dyDescent="0.3">
      <c r="A158" s="5">
        <v>75819246503</v>
      </c>
      <c r="B158" s="6">
        <v>45920</v>
      </c>
      <c r="C158" s="11">
        <v>0.66851851851851851</v>
      </c>
      <c r="D158" s="5" t="s">
        <v>55</v>
      </c>
      <c r="E158" s="11"/>
      <c r="F158" s="11"/>
      <c r="G158" s="5" t="s">
        <v>18</v>
      </c>
      <c r="H158" s="5" t="s">
        <v>18</v>
      </c>
      <c r="I158" s="5" t="s">
        <v>49</v>
      </c>
      <c r="J158" s="5">
        <v>8603321558</v>
      </c>
      <c r="K158" s="5" t="s">
        <v>192</v>
      </c>
      <c r="L158" s="5" t="s">
        <v>193</v>
      </c>
      <c r="M158" s="5" t="s">
        <v>22</v>
      </c>
      <c r="N158" s="5" t="s">
        <v>52</v>
      </c>
      <c r="O158" s="5">
        <v>6</v>
      </c>
      <c r="P158" s="5" t="s">
        <v>34</v>
      </c>
      <c r="Q158" s="5" t="s">
        <v>35</v>
      </c>
      <c r="U158" s="5">
        <v>75549502403</v>
      </c>
      <c r="V158" s="11">
        <v>45907</v>
      </c>
      <c r="W158" s="11">
        <v>0.53626157407407404</v>
      </c>
      <c r="X158" s="5">
        <f t="shared" si="20"/>
        <v>9</v>
      </c>
      <c r="Y158" s="5">
        <f t="shared" si="24"/>
        <v>37</v>
      </c>
      <c r="Z158" s="5">
        <f t="shared" si="25"/>
        <v>7</v>
      </c>
      <c r="AA158" s="5">
        <f t="shared" si="26"/>
        <v>1</v>
      </c>
      <c r="AB158" s="5" t="str">
        <f t="shared" si="27"/>
        <v>12 - 13 hr</v>
      </c>
      <c r="AC158" s="5" t="s">
        <v>43</v>
      </c>
      <c r="AD158" s="11">
        <v>45919</v>
      </c>
      <c r="AE158" s="11">
        <v>0.77809027777777773</v>
      </c>
      <c r="AF158" s="5" t="s">
        <v>18</v>
      </c>
      <c r="AG158" s="5" t="s">
        <v>18</v>
      </c>
      <c r="AH158" s="5" t="s">
        <v>27</v>
      </c>
      <c r="AI158" s="5">
        <v>9448450685</v>
      </c>
      <c r="AJ158" s="5" t="s">
        <v>315</v>
      </c>
      <c r="AK158" s="5" t="s">
        <v>119</v>
      </c>
      <c r="AL158" s="5" t="s">
        <v>82</v>
      </c>
      <c r="AM158" s="5" t="s">
        <v>116</v>
      </c>
      <c r="AN158" s="5">
        <v>2</v>
      </c>
      <c r="AO158" s="5" t="s">
        <v>24</v>
      </c>
      <c r="AP158" s="5" t="s">
        <v>25</v>
      </c>
      <c r="AQ158" s="5">
        <f t="shared" si="21"/>
        <v>293.80388888897141</v>
      </c>
      <c r="AR158" s="5">
        <f t="shared" si="22"/>
        <v>12.24</v>
      </c>
      <c r="AS158" s="5" t="str">
        <f t="shared" si="23"/>
        <v>9-12 days</v>
      </c>
      <c r="AT158" s="5" t="str">
        <f t="shared" ca="1" si="28"/>
        <v>STATUS-COMPLETE</v>
      </c>
      <c r="AU158" s="5" t="str">
        <f t="shared" ca="1" si="29"/>
        <v>STATUS-COMPLETE</v>
      </c>
      <c r="AZ158" s="3" t="s">
        <v>55</v>
      </c>
      <c r="BA158" s="64">
        <v>8</v>
      </c>
      <c r="BB158" s="64">
        <v>13</v>
      </c>
      <c r="BC158" s="64">
        <v>10</v>
      </c>
      <c r="BD158" s="64">
        <v>31</v>
      </c>
    </row>
    <row r="159" spans="1:56" x14ac:dyDescent="0.3">
      <c r="A159" s="5">
        <v>75821659217</v>
      </c>
      <c r="B159" s="6">
        <v>45878</v>
      </c>
      <c r="C159" s="11">
        <v>0.67333333333333334</v>
      </c>
      <c r="D159" s="5" t="s">
        <v>30</v>
      </c>
      <c r="E159" s="11">
        <v>45881</v>
      </c>
      <c r="F159" s="11">
        <v>0.50677083333333328</v>
      </c>
      <c r="G159" s="5" t="s">
        <v>18</v>
      </c>
      <c r="H159" s="5" t="s">
        <v>18</v>
      </c>
      <c r="I159" s="5" t="s">
        <v>49</v>
      </c>
      <c r="J159" s="5">
        <v>9696435541</v>
      </c>
      <c r="K159" s="5" t="s">
        <v>317</v>
      </c>
      <c r="L159" s="5" t="s">
        <v>41</v>
      </c>
      <c r="M159" s="5" t="s">
        <v>33</v>
      </c>
      <c r="N159" s="5" t="s">
        <v>42</v>
      </c>
      <c r="O159" s="5">
        <v>1</v>
      </c>
      <c r="P159" s="5" t="s">
        <v>24</v>
      </c>
      <c r="Q159" s="5" t="s">
        <v>25</v>
      </c>
      <c r="U159" s="5">
        <v>75462176039</v>
      </c>
      <c r="V159" s="11">
        <v>45907</v>
      </c>
      <c r="W159" s="11">
        <v>0.50415509259259261</v>
      </c>
      <c r="X159" s="5">
        <f t="shared" si="20"/>
        <v>9</v>
      </c>
      <c r="Y159" s="5">
        <f t="shared" si="24"/>
        <v>37</v>
      </c>
      <c r="Z159" s="5">
        <f t="shared" si="25"/>
        <v>7</v>
      </c>
      <c r="AA159" s="5">
        <f t="shared" si="26"/>
        <v>1</v>
      </c>
      <c r="AB159" s="5" t="str">
        <f t="shared" si="27"/>
        <v>12 - 13 hr</v>
      </c>
      <c r="AC159" s="5" t="s">
        <v>55</v>
      </c>
      <c r="AD159" s="11">
        <v>45918</v>
      </c>
      <c r="AE159" s="11">
        <v>0.43037037037037035</v>
      </c>
      <c r="AF159" s="5" t="s">
        <v>18</v>
      </c>
      <c r="AG159" s="5" t="s">
        <v>18</v>
      </c>
      <c r="AH159" s="5" t="s">
        <v>49</v>
      </c>
      <c r="AI159" s="5">
        <v>7498158588</v>
      </c>
      <c r="AJ159" s="5" t="s">
        <v>335</v>
      </c>
      <c r="AK159" s="5" t="s">
        <v>54</v>
      </c>
      <c r="AL159" s="5" t="s">
        <v>29</v>
      </c>
      <c r="AM159" s="5" t="s">
        <v>42</v>
      </c>
      <c r="AN159" s="5">
        <v>1</v>
      </c>
      <c r="AO159" s="5" t="s">
        <v>24</v>
      </c>
      <c r="AP159" s="5" t="s">
        <v>25</v>
      </c>
      <c r="AQ159" s="5">
        <f t="shared" si="21"/>
        <v>262.22916666656965</v>
      </c>
      <c r="AR159" s="5">
        <f t="shared" si="22"/>
        <v>10.93</v>
      </c>
      <c r="AS159" s="5" t="str">
        <f t="shared" si="23"/>
        <v>9-12 days</v>
      </c>
      <c r="AT159" s="5" t="str">
        <f t="shared" ca="1" si="28"/>
        <v>STATUS-COMPLETE</v>
      </c>
      <c r="AU159" s="5" t="str">
        <f t="shared" ca="1" si="29"/>
        <v>STATUS-COMPLETE</v>
      </c>
      <c r="AZ159" s="3" t="s">
        <v>17</v>
      </c>
      <c r="BA159" s="64">
        <v>2</v>
      </c>
      <c r="BB159" s="64">
        <v>9</v>
      </c>
      <c r="BC159" s="64">
        <v>7</v>
      </c>
      <c r="BD159" s="64">
        <v>18</v>
      </c>
    </row>
    <row r="160" spans="1:56" x14ac:dyDescent="0.3">
      <c r="A160" s="5">
        <v>75823431477</v>
      </c>
      <c r="B160" s="6">
        <v>45893</v>
      </c>
      <c r="C160" s="11">
        <v>0.44277777777777777</v>
      </c>
      <c r="D160" s="5" t="s">
        <v>43</v>
      </c>
      <c r="E160" s="11">
        <v>45905</v>
      </c>
      <c r="F160" s="11">
        <v>0.44243055555555555</v>
      </c>
      <c r="G160" s="5" t="s">
        <v>18</v>
      </c>
      <c r="H160" s="5" t="s">
        <v>18</v>
      </c>
      <c r="I160" s="5" t="s">
        <v>27</v>
      </c>
      <c r="J160" s="5">
        <v>8868237222</v>
      </c>
      <c r="K160" s="5" t="s">
        <v>347</v>
      </c>
      <c r="L160" s="5" t="s">
        <v>348</v>
      </c>
      <c r="M160" s="5" t="s">
        <v>82</v>
      </c>
      <c r="N160" s="5" t="s">
        <v>72</v>
      </c>
      <c r="O160" s="5">
        <v>8</v>
      </c>
      <c r="P160" s="5" t="s">
        <v>24</v>
      </c>
      <c r="Q160" s="5" t="s">
        <v>25</v>
      </c>
      <c r="U160" s="5">
        <v>75875368059</v>
      </c>
      <c r="V160" s="11">
        <v>45908</v>
      </c>
      <c r="W160" s="11">
        <v>0.58028935185185182</v>
      </c>
      <c r="X160" s="5">
        <f t="shared" si="20"/>
        <v>9</v>
      </c>
      <c r="Y160" s="5">
        <f t="shared" si="24"/>
        <v>37</v>
      </c>
      <c r="Z160" s="5">
        <f t="shared" si="25"/>
        <v>8</v>
      </c>
      <c r="AA160" s="5">
        <f t="shared" si="26"/>
        <v>2</v>
      </c>
      <c r="AB160" s="5" t="str">
        <f t="shared" si="27"/>
        <v>13 - 14 hr</v>
      </c>
      <c r="AC160" s="5" t="s">
        <v>55</v>
      </c>
      <c r="AD160" s="11">
        <v>45918</v>
      </c>
      <c r="AE160" s="11">
        <v>0.53440972222222227</v>
      </c>
      <c r="AF160" s="5" t="s">
        <v>18</v>
      </c>
      <c r="AG160" s="5" t="s">
        <v>18</v>
      </c>
      <c r="AH160" s="5" t="s">
        <v>36</v>
      </c>
      <c r="AI160" s="5">
        <v>8311598149</v>
      </c>
      <c r="AJ160" s="5" t="s">
        <v>92</v>
      </c>
      <c r="AK160" s="5" t="s">
        <v>93</v>
      </c>
      <c r="AL160" s="5" t="s">
        <v>29</v>
      </c>
      <c r="AM160" s="5" t="s">
        <v>94</v>
      </c>
      <c r="AN160" s="5">
        <v>7</v>
      </c>
      <c r="AO160" s="5" t="s">
        <v>24</v>
      </c>
      <c r="AP160" s="5" t="s">
        <v>25</v>
      </c>
      <c r="AQ160" s="5">
        <f t="shared" si="21"/>
        <v>238.89888888888527</v>
      </c>
      <c r="AR160" s="5">
        <f t="shared" si="22"/>
        <v>9.9499999999999993</v>
      </c>
      <c r="AS160" s="5" t="str">
        <f t="shared" si="23"/>
        <v>9-12 days</v>
      </c>
      <c r="AT160" s="5" t="str">
        <f t="shared" ca="1" si="28"/>
        <v>STATUS-COMPLETE</v>
      </c>
      <c r="AU160" s="5" t="str">
        <f t="shared" ca="1" si="29"/>
        <v>STATUS-COMPLETE</v>
      </c>
      <c r="AZ160" s="3" t="s">
        <v>30</v>
      </c>
      <c r="BA160" s="64">
        <v>4</v>
      </c>
      <c r="BB160" s="64">
        <v>7</v>
      </c>
      <c r="BC160" s="64">
        <v>6</v>
      </c>
      <c r="BD160" s="64">
        <v>17</v>
      </c>
    </row>
    <row r="161" spans="1:56" x14ac:dyDescent="0.3">
      <c r="A161" s="5">
        <v>75829520110</v>
      </c>
      <c r="B161" s="6">
        <v>45882</v>
      </c>
      <c r="C161" s="11">
        <v>0.85343749999999996</v>
      </c>
      <c r="D161" s="5" t="s">
        <v>55</v>
      </c>
      <c r="E161" s="11">
        <v>45883</v>
      </c>
      <c r="F161" s="11">
        <v>0.59521990740740738</v>
      </c>
      <c r="G161" s="5" t="s">
        <v>18</v>
      </c>
      <c r="H161" s="5" t="s">
        <v>18</v>
      </c>
      <c r="I161" s="5" t="s">
        <v>36</v>
      </c>
      <c r="J161" s="5">
        <v>8456151216</v>
      </c>
      <c r="K161" s="5" t="s">
        <v>198</v>
      </c>
      <c r="L161" s="5" t="s">
        <v>98</v>
      </c>
      <c r="M161" s="5" t="s">
        <v>33</v>
      </c>
      <c r="N161" s="5" t="s">
        <v>23</v>
      </c>
      <c r="O161" s="5">
        <v>8</v>
      </c>
      <c r="P161" s="5" t="s">
        <v>24</v>
      </c>
      <c r="Q161" s="5" t="s">
        <v>25</v>
      </c>
      <c r="U161" s="5">
        <v>75733665422</v>
      </c>
      <c r="V161" s="11">
        <v>45908</v>
      </c>
      <c r="W161" s="11">
        <v>0.70873842592592595</v>
      </c>
      <c r="X161" s="5">
        <f t="shared" si="20"/>
        <v>9</v>
      </c>
      <c r="Y161" s="5">
        <f t="shared" si="24"/>
        <v>37</v>
      </c>
      <c r="Z161" s="5">
        <f t="shared" si="25"/>
        <v>8</v>
      </c>
      <c r="AA161" s="5">
        <f t="shared" si="26"/>
        <v>2</v>
      </c>
      <c r="AB161" s="5" t="str">
        <f t="shared" si="27"/>
        <v>17 - 18 hr</v>
      </c>
      <c r="AC161" s="5" t="s">
        <v>55</v>
      </c>
      <c r="AD161" s="11"/>
      <c r="AE161" s="11"/>
      <c r="AF161" s="5" t="s">
        <v>18</v>
      </c>
      <c r="AG161" s="5" t="s">
        <v>18</v>
      </c>
      <c r="AH161" s="5" t="s">
        <v>19</v>
      </c>
      <c r="AI161" s="5">
        <v>7400330495</v>
      </c>
      <c r="AJ161" s="5" t="s">
        <v>108</v>
      </c>
      <c r="AK161" s="5" t="s">
        <v>109</v>
      </c>
      <c r="AL161" s="5" t="s">
        <v>82</v>
      </c>
      <c r="AM161" s="5" t="s">
        <v>63</v>
      </c>
      <c r="AN161" s="5">
        <v>7</v>
      </c>
      <c r="AO161" s="5" t="s">
        <v>34</v>
      </c>
      <c r="AP161" s="5" t="s">
        <v>35</v>
      </c>
      <c r="AQ161" s="5" t="str">
        <f t="shared" si="21"/>
        <v>Issue_pending</v>
      </c>
      <c r="AR161" s="5" t="str">
        <f t="shared" si="22"/>
        <v>Issue_pending</v>
      </c>
      <c r="AS161" s="5" t="str">
        <f t="shared" si="23"/>
        <v>Issue_pending</v>
      </c>
      <c r="AT161" s="5">
        <f t="shared" ca="1" si="28"/>
        <v>22</v>
      </c>
      <c r="AU161" s="5" t="str">
        <f t="shared" ca="1" si="29"/>
        <v>&gt;20 days</v>
      </c>
      <c r="AZ161" s="3" t="s">
        <v>78</v>
      </c>
      <c r="BA161" s="64">
        <v>5</v>
      </c>
      <c r="BB161" s="64">
        <v>6</v>
      </c>
      <c r="BC161" s="64">
        <v>4</v>
      </c>
      <c r="BD161" s="64">
        <v>15</v>
      </c>
    </row>
    <row r="162" spans="1:56" x14ac:dyDescent="0.3">
      <c r="A162" s="5">
        <v>75834245762</v>
      </c>
      <c r="B162" s="6">
        <v>45872</v>
      </c>
      <c r="C162" s="11">
        <v>0.86141203703703706</v>
      </c>
      <c r="D162" s="5" t="s">
        <v>30</v>
      </c>
      <c r="E162" s="11">
        <v>45880</v>
      </c>
      <c r="F162" s="11">
        <v>0.4550925925925926</v>
      </c>
      <c r="G162" s="5" t="s">
        <v>18</v>
      </c>
      <c r="H162" s="5" t="s">
        <v>18</v>
      </c>
      <c r="I162" s="5" t="s">
        <v>49</v>
      </c>
      <c r="J162" s="5">
        <v>7494665880</v>
      </c>
      <c r="K162" s="5" t="s">
        <v>163</v>
      </c>
      <c r="L162" s="5" t="s">
        <v>85</v>
      </c>
      <c r="M162" s="5" t="s">
        <v>29</v>
      </c>
      <c r="N162" s="5" t="s">
        <v>86</v>
      </c>
      <c r="O162" s="5">
        <v>7</v>
      </c>
      <c r="P162" s="5" t="s">
        <v>24</v>
      </c>
      <c r="Q162" s="5" t="s">
        <v>25</v>
      </c>
      <c r="U162" s="5">
        <v>75644961731</v>
      </c>
      <c r="V162" s="11">
        <v>45908</v>
      </c>
      <c r="W162" s="11">
        <v>0.60791666666666666</v>
      </c>
      <c r="X162" s="5">
        <f t="shared" si="20"/>
        <v>9</v>
      </c>
      <c r="Y162" s="5">
        <f t="shared" si="24"/>
        <v>37</v>
      </c>
      <c r="Z162" s="5">
        <f t="shared" si="25"/>
        <v>8</v>
      </c>
      <c r="AA162" s="5">
        <f t="shared" si="26"/>
        <v>2</v>
      </c>
      <c r="AB162" s="5" t="str">
        <f t="shared" si="27"/>
        <v>14 - 15 hr</v>
      </c>
      <c r="AC162" s="5" t="s">
        <v>55</v>
      </c>
      <c r="AD162" s="11">
        <v>45914</v>
      </c>
      <c r="AE162" s="11">
        <v>0.40297453703703706</v>
      </c>
      <c r="AF162" s="5" t="s">
        <v>18</v>
      </c>
      <c r="AG162" s="5" t="s">
        <v>18</v>
      </c>
      <c r="AH162" s="5" t="s">
        <v>36</v>
      </c>
      <c r="AI162" s="5">
        <v>7797737957</v>
      </c>
      <c r="AJ162" s="5" t="s">
        <v>284</v>
      </c>
      <c r="AK162" s="5" t="s">
        <v>285</v>
      </c>
      <c r="AL162" s="5" t="s">
        <v>29</v>
      </c>
      <c r="AM162" s="5" t="s">
        <v>94</v>
      </c>
      <c r="AN162" s="5">
        <v>2</v>
      </c>
      <c r="AO162" s="5" t="s">
        <v>24</v>
      </c>
      <c r="AP162" s="5" t="s">
        <v>25</v>
      </c>
      <c r="AQ162" s="5">
        <f t="shared" si="21"/>
        <v>139.0813888888224</v>
      </c>
      <c r="AR162" s="5">
        <f t="shared" si="22"/>
        <v>5.8</v>
      </c>
      <c r="AS162" s="5" t="str">
        <f t="shared" si="23"/>
        <v>5-8 days</v>
      </c>
      <c r="AT162" s="5" t="str">
        <f t="shared" ca="1" si="28"/>
        <v>STATUS-COMPLETE</v>
      </c>
      <c r="AU162" s="5" t="str">
        <f t="shared" ca="1" si="29"/>
        <v>STATUS-COMPLETE</v>
      </c>
      <c r="AZ162" s="3" t="s">
        <v>95</v>
      </c>
      <c r="BA162" s="64">
        <v>6</v>
      </c>
      <c r="BB162" s="64">
        <v>7</v>
      </c>
      <c r="BC162" s="64">
        <v>2</v>
      </c>
      <c r="BD162" s="64">
        <v>15</v>
      </c>
    </row>
    <row r="163" spans="1:56" x14ac:dyDescent="0.3">
      <c r="A163" s="5">
        <v>75838404342</v>
      </c>
      <c r="B163" s="6">
        <v>45910</v>
      </c>
      <c r="C163" s="11">
        <v>0.42224537037037035</v>
      </c>
      <c r="D163" s="5" t="s">
        <v>43</v>
      </c>
      <c r="E163" s="11"/>
      <c r="F163" s="11"/>
      <c r="G163" s="5" t="s">
        <v>18</v>
      </c>
      <c r="H163" s="5" t="s">
        <v>18</v>
      </c>
      <c r="I163" s="5" t="s">
        <v>27</v>
      </c>
      <c r="J163" s="5">
        <v>8307235909</v>
      </c>
      <c r="K163" s="5" t="s">
        <v>134</v>
      </c>
      <c r="L163" s="5" t="s">
        <v>135</v>
      </c>
      <c r="M163" s="5" t="s">
        <v>33</v>
      </c>
      <c r="N163" s="5" t="s">
        <v>72</v>
      </c>
      <c r="O163" s="5">
        <v>5</v>
      </c>
      <c r="P163" s="5" t="s">
        <v>34</v>
      </c>
      <c r="Q163" s="5" t="s">
        <v>35</v>
      </c>
      <c r="U163" s="5">
        <v>75863129902</v>
      </c>
      <c r="V163" s="11">
        <v>45908</v>
      </c>
      <c r="W163" s="11">
        <v>0.79905092592592597</v>
      </c>
      <c r="X163" s="5">
        <f t="shared" si="20"/>
        <v>9</v>
      </c>
      <c r="Y163" s="5">
        <f t="shared" si="24"/>
        <v>37</v>
      </c>
      <c r="Z163" s="5">
        <f t="shared" si="25"/>
        <v>8</v>
      </c>
      <c r="AA163" s="5">
        <f t="shared" si="26"/>
        <v>2</v>
      </c>
      <c r="AB163" s="5" t="str">
        <f t="shared" si="27"/>
        <v>19 - 20 hr</v>
      </c>
      <c r="AC163" s="5" t="s">
        <v>55</v>
      </c>
      <c r="AD163" s="11"/>
      <c r="AE163" s="11"/>
      <c r="AF163" s="5" t="s">
        <v>18</v>
      </c>
      <c r="AG163" s="5" t="s">
        <v>18</v>
      </c>
      <c r="AH163" s="5" t="s">
        <v>36</v>
      </c>
      <c r="AI163" s="5">
        <v>7674755608</v>
      </c>
      <c r="AJ163" s="5" t="s">
        <v>372</v>
      </c>
      <c r="AK163" s="5" t="s">
        <v>229</v>
      </c>
      <c r="AL163" s="5" t="s">
        <v>22</v>
      </c>
      <c r="AM163" s="5" t="s">
        <v>39</v>
      </c>
      <c r="AN163" s="5">
        <v>7</v>
      </c>
      <c r="AO163" s="5" t="s">
        <v>34</v>
      </c>
      <c r="AP163" s="5" t="s">
        <v>60</v>
      </c>
      <c r="AQ163" s="5" t="str">
        <f t="shared" si="21"/>
        <v>Issue_pending</v>
      </c>
      <c r="AR163" s="5" t="str">
        <f t="shared" si="22"/>
        <v>Issue_pending</v>
      </c>
      <c r="AS163" s="5" t="str">
        <f t="shared" si="23"/>
        <v>Issue_pending</v>
      </c>
      <c r="AT163" s="5">
        <f t="shared" ca="1" si="28"/>
        <v>22</v>
      </c>
      <c r="AU163" s="5" t="str">
        <f t="shared" ca="1" si="29"/>
        <v>&gt;20 days</v>
      </c>
      <c r="AZ163" s="3" t="s">
        <v>46</v>
      </c>
      <c r="BA163" s="64">
        <v>4</v>
      </c>
      <c r="BB163" s="64">
        <v>5</v>
      </c>
      <c r="BC163" s="64">
        <v>5</v>
      </c>
      <c r="BD163" s="64">
        <v>14</v>
      </c>
    </row>
    <row r="164" spans="1:56" x14ac:dyDescent="0.3">
      <c r="A164" s="5">
        <v>75838508549</v>
      </c>
      <c r="B164" s="6">
        <v>45912</v>
      </c>
      <c r="C164" s="11">
        <v>0.60120370370370368</v>
      </c>
      <c r="D164" s="5" t="s">
        <v>30</v>
      </c>
      <c r="E164" s="11"/>
      <c r="F164" s="11"/>
      <c r="G164" s="5" t="s">
        <v>18</v>
      </c>
      <c r="H164" s="5" t="s">
        <v>18</v>
      </c>
      <c r="I164" s="5" t="s">
        <v>19</v>
      </c>
      <c r="J164" s="5">
        <v>9381183483</v>
      </c>
      <c r="K164" s="5" t="s">
        <v>31</v>
      </c>
      <c r="L164" s="5" t="s">
        <v>32</v>
      </c>
      <c r="M164" s="5" t="s">
        <v>33</v>
      </c>
      <c r="N164" s="5" t="s">
        <v>23</v>
      </c>
      <c r="O164" s="5">
        <v>6</v>
      </c>
      <c r="P164" s="5" t="s">
        <v>34</v>
      </c>
      <c r="Q164" s="5" t="s">
        <v>35</v>
      </c>
      <c r="U164" s="5">
        <v>75593720285</v>
      </c>
      <c r="V164" s="11">
        <v>45909</v>
      </c>
      <c r="W164" s="11">
        <v>0.57277777777777783</v>
      </c>
      <c r="X164" s="5">
        <f t="shared" si="20"/>
        <v>9</v>
      </c>
      <c r="Y164" s="5">
        <f t="shared" si="24"/>
        <v>37</v>
      </c>
      <c r="Z164" s="5">
        <f t="shared" si="25"/>
        <v>9</v>
      </c>
      <c r="AA164" s="5">
        <f t="shared" si="26"/>
        <v>3</v>
      </c>
      <c r="AB164" s="5" t="str">
        <f t="shared" si="27"/>
        <v>13 - 14 hr</v>
      </c>
      <c r="AC164" s="5" t="s">
        <v>30</v>
      </c>
      <c r="AD164" s="11">
        <v>45918</v>
      </c>
      <c r="AE164" s="11">
        <v>0.40207175925925925</v>
      </c>
      <c r="AF164" s="5" t="s">
        <v>18</v>
      </c>
      <c r="AG164" s="5" t="s">
        <v>18</v>
      </c>
      <c r="AH164" s="5" t="s">
        <v>27</v>
      </c>
      <c r="AI164" s="5">
        <v>8459535801</v>
      </c>
      <c r="AJ164" s="5" t="s">
        <v>156</v>
      </c>
      <c r="AK164" s="5" t="s">
        <v>152</v>
      </c>
      <c r="AL164" s="5" t="s">
        <v>33</v>
      </c>
      <c r="AM164" s="5" t="s">
        <v>94</v>
      </c>
      <c r="AN164" s="5">
        <v>6</v>
      </c>
      <c r="AO164" s="5" t="s">
        <v>24</v>
      </c>
      <c r="AP164" s="5" t="s">
        <v>25</v>
      </c>
      <c r="AQ164" s="5">
        <f t="shared" si="21"/>
        <v>211.9030555554782</v>
      </c>
      <c r="AR164" s="5">
        <f t="shared" si="22"/>
        <v>8.83</v>
      </c>
      <c r="AS164" s="5" t="str">
        <f t="shared" si="23"/>
        <v>9-12 days</v>
      </c>
      <c r="AT164" s="5" t="str">
        <f t="shared" ca="1" si="28"/>
        <v>STATUS-COMPLETE</v>
      </c>
      <c r="AU164" s="5" t="str">
        <f t="shared" ca="1" si="29"/>
        <v>STATUS-COMPLETE</v>
      </c>
      <c r="AZ164" s="3" t="s">
        <v>48</v>
      </c>
      <c r="BA164" s="64">
        <v>3</v>
      </c>
      <c r="BB164" s="64">
        <v>4</v>
      </c>
      <c r="BC164" s="64">
        <v>6</v>
      </c>
      <c r="BD164" s="64">
        <v>13</v>
      </c>
    </row>
    <row r="165" spans="1:56" x14ac:dyDescent="0.3">
      <c r="A165" s="5">
        <v>75842373256</v>
      </c>
      <c r="B165" s="6">
        <v>45879</v>
      </c>
      <c r="C165" s="11">
        <v>0.72920138888888886</v>
      </c>
      <c r="D165" s="5" t="s">
        <v>17</v>
      </c>
      <c r="E165" s="11">
        <v>45889</v>
      </c>
      <c r="F165" s="11">
        <v>0.76089120370370367</v>
      </c>
      <c r="G165" s="5" t="s">
        <v>18</v>
      </c>
      <c r="H165" s="5" t="s">
        <v>18</v>
      </c>
      <c r="I165" s="5" t="s">
        <v>36</v>
      </c>
      <c r="J165" s="5">
        <v>8201628712</v>
      </c>
      <c r="K165" s="5" t="s">
        <v>356</v>
      </c>
      <c r="L165" s="5" t="s">
        <v>224</v>
      </c>
      <c r="M165" s="5" t="s">
        <v>33</v>
      </c>
      <c r="N165" s="5" t="s">
        <v>94</v>
      </c>
      <c r="O165" s="5">
        <v>2</v>
      </c>
      <c r="P165" s="5" t="s">
        <v>24</v>
      </c>
      <c r="Q165" s="5" t="s">
        <v>25</v>
      </c>
      <c r="U165" s="5">
        <v>75882897882</v>
      </c>
      <c r="V165" s="11">
        <v>45909</v>
      </c>
      <c r="W165" s="11">
        <v>0.77861111111111114</v>
      </c>
      <c r="X165" s="5">
        <f t="shared" si="20"/>
        <v>9</v>
      </c>
      <c r="Y165" s="5">
        <f t="shared" si="24"/>
        <v>37</v>
      </c>
      <c r="Z165" s="5">
        <f t="shared" si="25"/>
        <v>9</v>
      </c>
      <c r="AA165" s="5">
        <f t="shared" si="26"/>
        <v>3</v>
      </c>
      <c r="AB165" s="5" t="str">
        <f t="shared" si="27"/>
        <v>18 - 19 hr</v>
      </c>
      <c r="AC165" s="5" t="s">
        <v>78</v>
      </c>
      <c r="AD165" s="11">
        <v>45916</v>
      </c>
      <c r="AE165" s="11">
        <v>0.69276620370370368</v>
      </c>
      <c r="AF165" s="5" t="s">
        <v>18</v>
      </c>
      <c r="AG165" s="5" t="s">
        <v>18</v>
      </c>
      <c r="AH165" s="5" t="s">
        <v>27</v>
      </c>
      <c r="AI165" s="5">
        <v>9598480273</v>
      </c>
      <c r="AJ165" s="5" t="s">
        <v>171</v>
      </c>
      <c r="AK165" s="5" t="s">
        <v>172</v>
      </c>
      <c r="AL165" s="5" t="s">
        <v>22</v>
      </c>
      <c r="AM165" s="5" t="s">
        <v>72</v>
      </c>
      <c r="AN165" s="5">
        <v>2</v>
      </c>
      <c r="AO165" s="5" t="s">
        <v>24</v>
      </c>
      <c r="AP165" s="5" t="s">
        <v>25</v>
      </c>
      <c r="AQ165" s="5">
        <f t="shared" si="21"/>
        <v>165.93972222221782</v>
      </c>
      <c r="AR165" s="5">
        <f t="shared" si="22"/>
        <v>6.91</v>
      </c>
      <c r="AS165" s="5" t="str">
        <f t="shared" si="23"/>
        <v>5-8 days</v>
      </c>
      <c r="AT165" s="5" t="str">
        <f t="shared" ca="1" si="28"/>
        <v>STATUS-COMPLETE</v>
      </c>
      <c r="AU165" s="5" t="str">
        <f t="shared" ca="1" si="29"/>
        <v>STATUS-COMPLETE</v>
      </c>
      <c r="AZ165" s="3" t="s">
        <v>26</v>
      </c>
      <c r="BA165" s="64">
        <v>4</v>
      </c>
      <c r="BB165" s="64">
        <v>5</v>
      </c>
      <c r="BC165" s="64">
        <v>4</v>
      </c>
      <c r="BD165" s="64">
        <v>13</v>
      </c>
    </row>
    <row r="166" spans="1:56" x14ac:dyDescent="0.3">
      <c r="A166" s="5">
        <v>75845478870</v>
      </c>
      <c r="B166" s="6">
        <v>45878</v>
      </c>
      <c r="C166" s="11">
        <v>0.79644675925925923</v>
      </c>
      <c r="D166" s="5" t="s">
        <v>48</v>
      </c>
      <c r="E166" s="11">
        <v>45884</v>
      </c>
      <c r="F166" s="11">
        <v>0.72681712962962963</v>
      </c>
      <c r="G166" s="5" t="s">
        <v>18</v>
      </c>
      <c r="H166" s="5" t="s">
        <v>18</v>
      </c>
      <c r="I166" s="5" t="s">
        <v>36</v>
      </c>
      <c r="J166" s="5">
        <v>9644206129</v>
      </c>
      <c r="K166" s="5" t="s">
        <v>136</v>
      </c>
      <c r="L166" s="5" t="s">
        <v>137</v>
      </c>
      <c r="M166" s="5" t="s">
        <v>82</v>
      </c>
      <c r="N166" s="5" t="s">
        <v>63</v>
      </c>
      <c r="O166" s="5">
        <v>3</v>
      </c>
      <c r="P166" s="5" t="s">
        <v>24</v>
      </c>
      <c r="Q166" s="5" t="s">
        <v>25</v>
      </c>
      <c r="U166" s="5">
        <v>75838404342</v>
      </c>
      <c r="V166" s="11">
        <v>45910</v>
      </c>
      <c r="W166" s="11">
        <v>0.42224537037037035</v>
      </c>
      <c r="X166" s="5">
        <f t="shared" si="20"/>
        <v>9</v>
      </c>
      <c r="Y166" s="5">
        <f t="shared" si="24"/>
        <v>37</v>
      </c>
      <c r="Z166" s="5">
        <f t="shared" si="25"/>
        <v>10</v>
      </c>
      <c r="AA166" s="5">
        <f t="shared" si="26"/>
        <v>4</v>
      </c>
      <c r="AB166" s="5" t="str">
        <f t="shared" si="27"/>
        <v>10 - 11 hr</v>
      </c>
      <c r="AC166" s="5" t="s">
        <v>43</v>
      </c>
      <c r="AD166" s="11"/>
      <c r="AE166" s="11"/>
      <c r="AF166" s="5" t="s">
        <v>18</v>
      </c>
      <c r="AG166" s="5" t="s">
        <v>18</v>
      </c>
      <c r="AH166" s="5" t="s">
        <v>27</v>
      </c>
      <c r="AI166" s="5">
        <v>8307235909</v>
      </c>
      <c r="AJ166" s="5" t="s">
        <v>134</v>
      </c>
      <c r="AK166" s="5" t="s">
        <v>135</v>
      </c>
      <c r="AL166" s="5" t="s">
        <v>33</v>
      </c>
      <c r="AM166" s="5" t="s">
        <v>72</v>
      </c>
      <c r="AN166" s="5">
        <v>5</v>
      </c>
      <c r="AO166" s="5" t="s">
        <v>34</v>
      </c>
      <c r="AP166" s="5" t="s">
        <v>35</v>
      </c>
      <c r="AQ166" s="5" t="str">
        <f t="shared" si="21"/>
        <v>Issue_pending</v>
      </c>
      <c r="AR166" s="5" t="str">
        <f t="shared" si="22"/>
        <v>Issue_pending</v>
      </c>
      <c r="AS166" s="5" t="str">
        <f t="shared" si="23"/>
        <v>Issue_pending</v>
      </c>
      <c r="AT166" s="5">
        <f t="shared" ca="1" si="28"/>
        <v>20</v>
      </c>
      <c r="AU166" s="5" t="str">
        <f t="shared" ca="1" si="29"/>
        <v>8-20 days</v>
      </c>
      <c r="AZ166" s="3" t="s">
        <v>58</v>
      </c>
      <c r="BA166" s="64">
        <v>2</v>
      </c>
      <c r="BB166" s="64">
        <v>1</v>
      </c>
      <c r="BC166" s="64">
        <v>8</v>
      </c>
      <c r="BD166" s="64">
        <v>11</v>
      </c>
    </row>
    <row r="167" spans="1:56" x14ac:dyDescent="0.3">
      <c r="A167" s="5">
        <v>75846434187</v>
      </c>
      <c r="B167" s="6">
        <v>45915</v>
      </c>
      <c r="C167" s="11">
        <v>0.38464120370370369</v>
      </c>
      <c r="D167" s="5" t="s">
        <v>55</v>
      </c>
      <c r="E167" s="11">
        <v>45922</v>
      </c>
      <c r="F167" s="11">
        <v>0.63997685185185182</v>
      </c>
      <c r="G167" s="5" t="s">
        <v>18</v>
      </c>
      <c r="H167" s="5" t="s">
        <v>18</v>
      </c>
      <c r="I167" s="5" t="s">
        <v>36</v>
      </c>
      <c r="J167" s="5">
        <v>8672790155</v>
      </c>
      <c r="K167" s="5" t="s">
        <v>56</v>
      </c>
      <c r="L167" s="5" t="s">
        <v>57</v>
      </c>
      <c r="M167" s="5" t="s">
        <v>29</v>
      </c>
      <c r="N167" s="5" t="s">
        <v>39</v>
      </c>
      <c r="O167" s="5">
        <v>6</v>
      </c>
      <c r="P167" s="5" t="s">
        <v>24</v>
      </c>
      <c r="Q167" s="5" t="s">
        <v>25</v>
      </c>
      <c r="U167" s="5">
        <v>75533316990</v>
      </c>
      <c r="V167" s="11">
        <v>45910</v>
      </c>
      <c r="W167" s="11">
        <v>0.71480324074074075</v>
      </c>
      <c r="X167" s="5">
        <f t="shared" si="20"/>
        <v>9</v>
      </c>
      <c r="Y167" s="5">
        <f t="shared" si="24"/>
        <v>37</v>
      </c>
      <c r="Z167" s="5">
        <f t="shared" si="25"/>
        <v>10</v>
      </c>
      <c r="AA167" s="5">
        <f t="shared" si="26"/>
        <v>4</v>
      </c>
      <c r="AB167" s="5" t="str">
        <f t="shared" si="27"/>
        <v>17 - 18 hr</v>
      </c>
      <c r="AC167" s="5" t="s">
        <v>95</v>
      </c>
      <c r="AD167" s="11">
        <v>45913</v>
      </c>
      <c r="AE167" s="11">
        <v>0.64789351851851851</v>
      </c>
      <c r="AF167" s="5" t="s">
        <v>18</v>
      </c>
      <c r="AG167" s="5" t="s">
        <v>18</v>
      </c>
      <c r="AH167" s="5" t="s">
        <v>27</v>
      </c>
      <c r="AI167" s="5">
        <v>7695642802</v>
      </c>
      <c r="AJ167" s="5" t="s">
        <v>213</v>
      </c>
      <c r="AK167" s="5" t="s">
        <v>214</v>
      </c>
      <c r="AL167" s="5" t="s">
        <v>22</v>
      </c>
      <c r="AM167" s="5" t="s">
        <v>203</v>
      </c>
      <c r="AN167" s="5">
        <v>6</v>
      </c>
      <c r="AO167" s="5" t="s">
        <v>24</v>
      </c>
      <c r="AP167" s="5" t="s">
        <v>25</v>
      </c>
      <c r="AQ167" s="5">
        <f t="shared" si="21"/>
        <v>70.394166666548699</v>
      </c>
      <c r="AR167" s="5">
        <f t="shared" si="22"/>
        <v>2.93</v>
      </c>
      <c r="AS167" s="5" t="str">
        <f t="shared" si="23"/>
        <v>1-4 days</v>
      </c>
      <c r="AT167" s="5" t="str">
        <f t="shared" ca="1" si="28"/>
        <v>STATUS-COMPLETE</v>
      </c>
      <c r="AU167" s="5" t="str">
        <f t="shared" ca="1" si="29"/>
        <v>STATUS-COMPLETE</v>
      </c>
      <c r="AZ167" s="3" t="s">
        <v>43</v>
      </c>
      <c r="BA167" s="64">
        <v>1</v>
      </c>
      <c r="BB167" s="64">
        <v>1</v>
      </c>
      <c r="BC167" s="64">
        <v>9</v>
      </c>
      <c r="BD167" s="64">
        <v>11</v>
      </c>
    </row>
    <row r="168" spans="1:56" x14ac:dyDescent="0.3">
      <c r="A168" s="5">
        <v>75847286055</v>
      </c>
      <c r="B168" s="6">
        <v>45915</v>
      </c>
      <c r="C168" s="11">
        <v>0.48798611111111112</v>
      </c>
      <c r="D168" s="5" t="s">
        <v>17</v>
      </c>
      <c r="E168" s="11">
        <v>45922</v>
      </c>
      <c r="F168" s="11">
        <v>0.40233796296296298</v>
      </c>
      <c r="G168" s="5" t="s">
        <v>18</v>
      </c>
      <c r="H168" s="5" t="s">
        <v>18</v>
      </c>
      <c r="I168" s="5" t="s">
        <v>49</v>
      </c>
      <c r="J168" s="5">
        <v>9248349034</v>
      </c>
      <c r="K168" s="5" t="s">
        <v>190</v>
      </c>
      <c r="L168" s="5" t="s">
        <v>191</v>
      </c>
      <c r="M168" s="5" t="s">
        <v>82</v>
      </c>
      <c r="N168" s="5" t="s">
        <v>86</v>
      </c>
      <c r="O168" s="5">
        <v>7</v>
      </c>
      <c r="P168" s="5" t="s">
        <v>24</v>
      </c>
      <c r="Q168" s="5" t="s">
        <v>25</v>
      </c>
      <c r="U168" s="5">
        <v>75918558050</v>
      </c>
      <c r="V168" s="11">
        <v>45910</v>
      </c>
      <c r="W168" s="11">
        <v>0.53600694444444441</v>
      </c>
      <c r="X168" s="5">
        <f t="shared" si="20"/>
        <v>9</v>
      </c>
      <c r="Y168" s="5">
        <f t="shared" si="24"/>
        <v>37</v>
      </c>
      <c r="Z168" s="5">
        <f t="shared" si="25"/>
        <v>10</v>
      </c>
      <c r="AA168" s="5">
        <f t="shared" si="26"/>
        <v>4</v>
      </c>
      <c r="AB168" s="5" t="str">
        <f t="shared" si="27"/>
        <v>12 - 13 hr</v>
      </c>
      <c r="AC168" s="5" t="s">
        <v>55</v>
      </c>
      <c r="AD168" s="11">
        <v>45921</v>
      </c>
      <c r="AE168" s="11">
        <v>0.72130787037037036</v>
      </c>
      <c r="AF168" s="5" t="s">
        <v>18</v>
      </c>
      <c r="AG168" s="5" t="s">
        <v>18</v>
      </c>
      <c r="AH168" s="5" t="s">
        <v>27</v>
      </c>
      <c r="AI168" s="5">
        <v>8277468755</v>
      </c>
      <c r="AJ168" s="5" t="s">
        <v>219</v>
      </c>
      <c r="AK168" s="5" t="s">
        <v>220</v>
      </c>
      <c r="AL168" s="5" t="s">
        <v>33</v>
      </c>
      <c r="AM168" s="5" t="s">
        <v>203</v>
      </c>
      <c r="AN168" s="5">
        <v>6</v>
      </c>
      <c r="AO168" s="5" t="s">
        <v>24</v>
      </c>
      <c r="AP168" s="5" t="s">
        <v>25</v>
      </c>
      <c r="AQ168" s="5">
        <f t="shared" si="21"/>
        <v>268.44722222228302</v>
      </c>
      <c r="AR168" s="5">
        <f t="shared" si="22"/>
        <v>11.19</v>
      </c>
      <c r="AS168" s="5" t="str">
        <f t="shared" si="23"/>
        <v>9-12 days</v>
      </c>
      <c r="AT168" s="5" t="str">
        <f t="shared" ca="1" si="28"/>
        <v>STATUS-COMPLETE</v>
      </c>
      <c r="AU168" s="5" t="str">
        <f t="shared" ca="1" si="29"/>
        <v>STATUS-COMPLETE</v>
      </c>
      <c r="AZ168" s="3" t="s">
        <v>392</v>
      </c>
      <c r="BA168" s="64">
        <v>39</v>
      </c>
      <c r="BB168" s="64">
        <v>58</v>
      </c>
      <c r="BC168" s="64">
        <v>61</v>
      </c>
      <c r="BD168" s="64">
        <v>158</v>
      </c>
    </row>
    <row r="169" spans="1:56" x14ac:dyDescent="0.3">
      <c r="A169" s="5">
        <v>75850773824</v>
      </c>
      <c r="B169" s="6">
        <v>45918</v>
      </c>
      <c r="C169" s="11">
        <v>0.66885416666666664</v>
      </c>
      <c r="D169" s="5" t="s">
        <v>30</v>
      </c>
      <c r="E169" s="11">
        <v>45930</v>
      </c>
      <c r="F169" s="11">
        <v>0.54598379629629634</v>
      </c>
      <c r="G169" s="5" t="s">
        <v>18</v>
      </c>
      <c r="H169" s="5" t="s">
        <v>18</v>
      </c>
      <c r="I169" s="5" t="s">
        <v>49</v>
      </c>
      <c r="J169" s="5">
        <v>7399546384</v>
      </c>
      <c r="K169" s="5" t="s">
        <v>346</v>
      </c>
      <c r="L169" s="5" t="s">
        <v>85</v>
      </c>
      <c r="M169" s="5" t="s">
        <v>82</v>
      </c>
      <c r="N169" s="5" t="s">
        <v>86</v>
      </c>
      <c r="O169" s="5">
        <v>2</v>
      </c>
      <c r="P169" s="5" t="s">
        <v>24</v>
      </c>
      <c r="Q169" s="5" t="s">
        <v>25</v>
      </c>
      <c r="U169" s="5">
        <v>75882727494</v>
      </c>
      <c r="V169" s="11">
        <v>45910</v>
      </c>
      <c r="W169" s="11">
        <v>0.76902777777777775</v>
      </c>
      <c r="X169" s="5">
        <f t="shared" si="20"/>
        <v>9</v>
      </c>
      <c r="Y169" s="5">
        <f t="shared" si="24"/>
        <v>37</v>
      </c>
      <c r="Z169" s="5">
        <f t="shared" si="25"/>
        <v>10</v>
      </c>
      <c r="AA169" s="5">
        <f t="shared" si="26"/>
        <v>4</v>
      </c>
      <c r="AB169" s="5" t="str">
        <f t="shared" si="27"/>
        <v>18 - 19 hr</v>
      </c>
      <c r="AC169" s="5" t="s">
        <v>43</v>
      </c>
      <c r="AD169" s="11">
        <v>45921</v>
      </c>
      <c r="AE169" s="11">
        <v>0.6423726851851852</v>
      </c>
      <c r="AF169" s="5" t="s">
        <v>18</v>
      </c>
      <c r="AG169" s="5" t="s">
        <v>18</v>
      </c>
      <c r="AH169" s="5" t="s">
        <v>49</v>
      </c>
      <c r="AI169" s="5">
        <v>7922542252</v>
      </c>
      <c r="AJ169" s="5" t="s">
        <v>304</v>
      </c>
      <c r="AK169" s="5" t="s">
        <v>261</v>
      </c>
      <c r="AL169" s="5" t="s">
        <v>82</v>
      </c>
      <c r="AM169" s="5" t="s">
        <v>86</v>
      </c>
      <c r="AN169" s="5">
        <v>5</v>
      </c>
      <c r="AO169" s="5" t="s">
        <v>24</v>
      </c>
      <c r="AP169" s="5" t="s">
        <v>25</v>
      </c>
      <c r="AQ169" s="5">
        <f t="shared" si="21"/>
        <v>260.96027777774725</v>
      </c>
      <c r="AR169" s="5">
        <f t="shared" si="22"/>
        <v>10.87</v>
      </c>
      <c r="AS169" s="5" t="str">
        <f t="shared" si="23"/>
        <v>9-12 days</v>
      </c>
      <c r="AT169" s="5" t="str">
        <f t="shared" ca="1" si="28"/>
        <v>STATUS-COMPLETE</v>
      </c>
      <c r="AU169" s="5" t="str">
        <f t="shared" ca="1" si="29"/>
        <v>STATUS-COMPLETE</v>
      </c>
    </row>
    <row r="170" spans="1:56" x14ac:dyDescent="0.3">
      <c r="A170" s="5">
        <v>75858703133</v>
      </c>
      <c r="B170" s="6">
        <v>45912</v>
      </c>
      <c r="C170" s="11">
        <v>0.7298958333333333</v>
      </c>
      <c r="D170" s="5" t="s">
        <v>78</v>
      </c>
      <c r="E170" s="11">
        <v>45919</v>
      </c>
      <c r="F170" s="11">
        <v>0.55350694444444448</v>
      </c>
      <c r="G170" s="5" t="s">
        <v>18</v>
      </c>
      <c r="H170" s="5" t="s">
        <v>18</v>
      </c>
      <c r="I170" s="5" t="s">
        <v>49</v>
      </c>
      <c r="J170" s="5">
        <v>9763021449</v>
      </c>
      <c r="K170" s="5" t="s">
        <v>264</v>
      </c>
      <c r="L170" s="5" t="s">
        <v>265</v>
      </c>
      <c r="M170" s="5" t="s">
        <v>82</v>
      </c>
      <c r="N170" s="5" t="s">
        <v>52</v>
      </c>
      <c r="O170" s="5">
        <v>8</v>
      </c>
      <c r="P170" s="5" t="s">
        <v>24</v>
      </c>
      <c r="Q170" s="5" t="s">
        <v>25</v>
      </c>
      <c r="U170" s="5">
        <v>75677818215</v>
      </c>
      <c r="V170" s="11">
        <v>45911</v>
      </c>
      <c r="W170" s="11">
        <v>0.52276620370370375</v>
      </c>
      <c r="X170" s="5">
        <f t="shared" si="20"/>
        <v>9</v>
      </c>
      <c r="Y170" s="5">
        <f t="shared" si="24"/>
        <v>37</v>
      </c>
      <c r="Z170" s="5">
        <f t="shared" si="25"/>
        <v>11</v>
      </c>
      <c r="AA170" s="5">
        <f t="shared" si="26"/>
        <v>5</v>
      </c>
      <c r="AB170" s="5" t="str">
        <f t="shared" si="27"/>
        <v>12 - 13 hr</v>
      </c>
      <c r="AC170" s="5" t="s">
        <v>46</v>
      </c>
      <c r="AD170" s="11">
        <v>45917</v>
      </c>
      <c r="AE170" s="11">
        <v>0.62916666666666665</v>
      </c>
      <c r="AF170" s="5" t="s">
        <v>18</v>
      </c>
      <c r="AG170" s="5" t="s">
        <v>18</v>
      </c>
      <c r="AH170" s="5" t="s">
        <v>27</v>
      </c>
      <c r="AI170" s="5">
        <v>9396563469</v>
      </c>
      <c r="AJ170" s="5" t="s">
        <v>298</v>
      </c>
      <c r="AK170" s="5" t="s">
        <v>220</v>
      </c>
      <c r="AL170" s="5" t="s">
        <v>22</v>
      </c>
      <c r="AM170" s="5" t="s">
        <v>203</v>
      </c>
      <c r="AN170" s="5">
        <v>2</v>
      </c>
      <c r="AO170" s="5" t="s">
        <v>24</v>
      </c>
      <c r="AP170" s="5" t="s">
        <v>25</v>
      </c>
      <c r="AQ170" s="5">
        <f t="shared" si="21"/>
        <v>146.55361111101229</v>
      </c>
      <c r="AR170" s="5">
        <f t="shared" si="22"/>
        <v>6.11</v>
      </c>
      <c r="AS170" s="5" t="str">
        <f t="shared" si="23"/>
        <v>5-8 days</v>
      </c>
      <c r="AT170" s="5" t="str">
        <f t="shared" ca="1" si="28"/>
        <v>STATUS-COMPLETE</v>
      </c>
      <c r="AU170" s="5" t="str">
        <f t="shared" ca="1" si="29"/>
        <v>STATUS-COMPLETE</v>
      </c>
    </row>
    <row r="171" spans="1:56" x14ac:dyDescent="0.3">
      <c r="A171" s="5">
        <v>75860983746</v>
      </c>
      <c r="B171" s="6">
        <v>45916</v>
      </c>
      <c r="C171" s="11">
        <v>0.56462962962962959</v>
      </c>
      <c r="D171" s="5" t="s">
        <v>30</v>
      </c>
      <c r="E171" s="11"/>
      <c r="F171" s="11"/>
      <c r="G171" s="5" t="s">
        <v>18</v>
      </c>
      <c r="H171" s="5" t="s">
        <v>18</v>
      </c>
      <c r="I171" s="5" t="s">
        <v>36</v>
      </c>
      <c r="J171" s="5">
        <v>9476700066</v>
      </c>
      <c r="K171" s="5" t="s">
        <v>337</v>
      </c>
      <c r="L171" s="5" t="s">
        <v>132</v>
      </c>
      <c r="M171" s="5" t="s">
        <v>33</v>
      </c>
      <c r="N171" s="5" t="s">
        <v>39</v>
      </c>
      <c r="O171" s="5">
        <v>2</v>
      </c>
      <c r="P171" s="5" t="s">
        <v>34</v>
      </c>
      <c r="Q171" s="5" t="s">
        <v>67</v>
      </c>
      <c r="U171" s="5">
        <v>75723893509</v>
      </c>
      <c r="V171" s="11">
        <v>45911</v>
      </c>
      <c r="W171" s="11">
        <v>0.52335648148148151</v>
      </c>
      <c r="X171" s="5">
        <f t="shared" si="20"/>
        <v>9</v>
      </c>
      <c r="Y171" s="5">
        <f t="shared" si="24"/>
        <v>37</v>
      </c>
      <c r="Z171" s="5">
        <f t="shared" si="25"/>
        <v>11</v>
      </c>
      <c r="AA171" s="5">
        <f t="shared" si="26"/>
        <v>5</v>
      </c>
      <c r="AB171" s="5" t="str">
        <f t="shared" si="27"/>
        <v>12 - 13 hr</v>
      </c>
      <c r="AC171" s="5" t="s">
        <v>46</v>
      </c>
      <c r="AD171" s="11">
        <v>45920</v>
      </c>
      <c r="AE171" s="11">
        <v>0.77692129629629625</v>
      </c>
      <c r="AF171" s="5" t="s">
        <v>18</v>
      </c>
      <c r="AG171" s="5" t="s">
        <v>18</v>
      </c>
      <c r="AH171" s="5" t="s">
        <v>27</v>
      </c>
      <c r="AI171" s="5">
        <v>7810230640</v>
      </c>
      <c r="AJ171" s="5" t="s">
        <v>330</v>
      </c>
      <c r="AK171" s="5" t="s">
        <v>21</v>
      </c>
      <c r="AL171" s="5" t="s">
        <v>33</v>
      </c>
      <c r="AM171" s="5" t="s">
        <v>23</v>
      </c>
      <c r="AN171" s="5">
        <v>3</v>
      </c>
      <c r="AO171" s="5" t="s">
        <v>24</v>
      </c>
      <c r="AP171" s="5" t="s">
        <v>25</v>
      </c>
      <c r="AQ171" s="5">
        <f t="shared" si="21"/>
        <v>222.08555555547355</v>
      </c>
      <c r="AR171" s="5">
        <f t="shared" si="22"/>
        <v>9.25</v>
      </c>
      <c r="AS171" s="5" t="str">
        <f t="shared" si="23"/>
        <v>9-12 days</v>
      </c>
      <c r="AT171" s="5" t="str">
        <f t="shared" ca="1" si="28"/>
        <v>STATUS-COMPLETE</v>
      </c>
      <c r="AU171" s="5" t="str">
        <f t="shared" ca="1" si="29"/>
        <v>STATUS-COMPLETE</v>
      </c>
    </row>
    <row r="172" spans="1:56" x14ac:dyDescent="0.3">
      <c r="A172" s="5">
        <v>75862705171</v>
      </c>
      <c r="B172" s="6">
        <v>45873</v>
      </c>
      <c r="C172" s="11">
        <v>0.49740740740740741</v>
      </c>
      <c r="D172" s="5" t="s">
        <v>78</v>
      </c>
      <c r="E172" s="11"/>
      <c r="F172" s="11"/>
      <c r="G172" s="5" t="s">
        <v>18</v>
      </c>
      <c r="H172" s="5" t="s">
        <v>18</v>
      </c>
      <c r="I172" s="5" t="s">
        <v>27</v>
      </c>
      <c r="J172" s="5">
        <v>8731963069</v>
      </c>
      <c r="K172" s="5" t="s">
        <v>225</v>
      </c>
      <c r="L172" s="5" t="s">
        <v>226</v>
      </c>
      <c r="M172" s="5" t="s">
        <v>22</v>
      </c>
      <c r="N172" s="5" t="s">
        <v>94</v>
      </c>
      <c r="O172" s="5">
        <v>8</v>
      </c>
      <c r="P172" s="5" t="s">
        <v>24</v>
      </c>
      <c r="Q172" s="5" t="s">
        <v>25</v>
      </c>
      <c r="U172" s="5">
        <v>75838508549</v>
      </c>
      <c r="V172" s="11">
        <v>45912</v>
      </c>
      <c r="W172" s="11">
        <v>0.60120370370370368</v>
      </c>
      <c r="X172" s="5">
        <f t="shared" si="20"/>
        <v>9</v>
      </c>
      <c r="Y172" s="5">
        <f t="shared" si="24"/>
        <v>37</v>
      </c>
      <c r="Z172" s="5">
        <f t="shared" si="25"/>
        <v>12</v>
      </c>
      <c r="AA172" s="5">
        <f t="shared" si="26"/>
        <v>6</v>
      </c>
      <c r="AB172" s="5" t="str">
        <f t="shared" si="27"/>
        <v>14 - 15 hr</v>
      </c>
      <c r="AC172" s="5" t="s">
        <v>30</v>
      </c>
      <c r="AD172" s="11"/>
      <c r="AE172" s="11"/>
      <c r="AF172" s="5" t="s">
        <v>18</v>
      </c>
      <c r="AG172" s="5" t="s">
        <v>18</v>
      </c>
      <c r="AH172" s="5" t="s">
        <v>19</v>
      </c>
      <c r="AI172" s="5">
        <v>9381183483</v>
      </c>
      <c r="AJ172" s="5" t="s">
        <v>31</v>
      </c>
      <c r="AK172" s="5" t="s">
        <v>32</v>
      </c>
      <c r="AL172" s="5" t="s">
        <v>33</v>
      </c>
      <c r="AM172" s="5" t="s">
        <v>23</v>
      </c>
      <c r="AN172" s="5">
        <v>6</v>
      </c>
      <c r="AO172" s="5" t="s">
        <v>34</v>
      </c>
      <c r="AP172" s="5" t="s">
        <v>35</v>
      </c>
      <c r="AQ172" s="5" t="str">
        <f t="shared" si="21"/>
        <v>Issue_pending</v>
      </c>
      <c r="AR172" s="5" t="str">
        <f t="shared" si="22"/>
        <v>Issue_pending</v>
      </c>
      <c r="AS172" s="5" t="str">
        <f t="shared" si="23"/>
        <v>Issue_pending</v>
      </c>
      <c r="AT172" s="5">
        <f t="shared" ca="1" si="28"/>
        <v>18</v>
      </c>
      <c r="AU172" s="5" t="str">
        <f t="shared" ca="1" si="29"/>
        <v>8-20 days</v>
      </c>
    </row>
    <row r="173" spans="1:56" x14ac:dyDescent="0.3">
      <c r="A173" s="5">
        <v>75862760731</v>
      </c>
      <c r="B173" s="6">
        <v>45889</v>
      </c>
      <c r="C173" s="11">
        <v>0.69137731481481479</v>
      </c>
      <c r="D173" s="5" t="s">
        <v>46</v>
      </c>
      <c r="E173" s="11">
        <v>45894</v>
      </c>
      <c r="F173" s="11">
        <v>0.42228009259259258</v>
      </c>
      <c r="G173" s="5" t="s">
        <v>18</v>
      </c>
      <c r="H173" s="5" t="s">
        <v>18</v>
      </c>
      <c r="I173" s="5" t="s">
        <v>49</v>
      </c>
      <c r="J173" s="5">
        <v>8752536389</v>
      </c>
      <c r="K173" s="5" t="s">
        <v>288</v>
      </c>
      <c r="L173" s="5" t="s">
        <v>265</v>
      </c>
      <c r="M173" s="5" t="s">
        <v>82</v>
      </c>
      <c r="N173" s="5" t="s">
        <v>52</v>
      </c>
      <c r="O173" s="5">
        <v>4</v>
      </c>
      <c r="P173" s="5" t="s">
        <v>24</v>
      </c>
      <c r="Q173" s="5" t="s">
        <v>25</v>
      </c>
      <c r="U173" s="5">
        <v>75803935666</v>
      </c>
      <c r="V173" s="11">
        <v>45912</v>
      </c>
      <c r="W173" s="11">
        <v>0.64538194444444441</v>
      </c>
      <c r="X173" s="5">
        <f t="shared" si="20"/>
        <v>9</v>
      </c>
      <c r="Y173" s="5">
        <f t="shared" si="24"/>
        <v>37</v>
      </c>
      <c r="Z173" s="5">
        <f t="shared" si="25"/>
        <v>12</v>
      </c>
      <c r="AA173" s="5">
        <f t="shared" si="26"/>
        <v>6</v>
      </c>
      <c r="AB173" s="5" t="str">
        <f t="shared" si="27"/>
        <v>15 - 16 hr</v>
      </c>
      <c r="AC173" s="5" t="s">
        <v>95</v>
      </c>
      <c r="AD173" s="11">
        <v>45915</v>
      </c>
      <c r="AE173" s="11">
        <v>0.3790162037037037</v>
      </c>
      <c r="AF173" s="5" t="s">
        <v>18</v>
      </c>
      <c r="AG173" s="5" t="s">
        <v>18</v>
      </c>
      <c r="AH173" s="5" t="s">
        <v>49</v>
      </c>
      <c r="AI173" s="5">
        <v>8589365925</v>
      </c>
      <c r="AJ173" s="5" t="s">
        <v>157</v>
      </c>
      <c r="AK173" s="5" t="s">
        <v>145</v>
      </c>
      <c r="AL173" s="5" t="s">
        <v>82</v>
      </c>
      <c r="AM173" s="5" t="s">
        <v>52</v>
      </c>
      <c r="AN173" s="5">
        <v>3</v>
      </c>
      <c r="AO173" s="5" t="s">
        <v>24</v>
      </c>
      <c r="AP173" s="5" t="s">
        <v>25</v>
      </c>
      <c r="AQ173" s="5">
        <f t="shared" si="21"/>
        <v>65.607222222257406</v>
      </c>
      <c r="AR173" s="5">
        <f t="shared" si="22"/>
        <v>2.73</v>
      </c>
      <c r="AS173" s="5" t="str">
        <f t="shared" si="23"/>
        <v>1-4 days</v>
      </c>
      <c r="AT173" s="5" t="str">
        <f t="shared" ca="1" si="28"/>
        <v>STATUS-COMPLETE</v>
      </c>
      <c r="AU173" s="5" t="str">
        <f t="shared" ca="1" si="29"/>
        <v>STATUS-COMPLETE</v>
      </c>
    </row>
    <row r="174" spans="1:56" x14ac:dyDescent="0.3">
      <c r="A174" s="5">
        <v>75863129902</v>
      </c>
      <c r="B174" s="6">
        <v>45908</v>
      </c>
      <c r="C174" s="11">
        <v>0.79905092592592597</v>
      </c>
      <c r="D174" s="5" t="s">
        <v>55</v>
      </c>
      <c r="E174" s="11"/>
      <c r="F174" s="11"/>
      <c r="G174" s="5" t="s">
        <v>18</v>
      </c>
      <c r="H174" s="5" t="s">
        <v>18</v>
      </c>
      <c r="I174" s="5" t="s">
        <v>36</v>
      </c>
      <c r="J174" s="5">
        <v>7674755608</v>
      </c>
      <c r="K174" s="5" t="s">
        <v>372</v>
      </c>
      <c r="L174" s="5" t="s">
        <v>229</v>
      </c>
      <c r="M174" s="5" t="s">
        <v>22</v>
      </c>
      <c r="N174" s="5" t="s">
        <v>39</v>
      </c>
      <c r="O174" s="5">
        <v>7</v>
      </c>
      <c r="P174" s="5" t="s">
        <v>34</v>
      </c>
      <c r="Q174" s="5" t="s">
        <v>60</v>
      </c>
      <c r="U174" s="5">
        <v>75538460786</v>
      </c>
      <c r="V174" s="11">
        <v>45912</v>
      </c>
      <c r="W174" s="11">
        <v>0.78130787037037042</v>
      </c>
      <c r="X174" s="5">
        <f t="shared" si="20"/>
        <v>9</v>
      </c>
      <c r="Y174" s="5">
        <f t="shared" si="24"/>
        <v>37</v>
      </c>
      <c r="Z174" s="5">
        <f t="shared" si="25"/>
        <v>12</v>
      </c>
      <c r="AA174" s="5">
        <f t="shared" si="26"/>
        <v>6</v>
      </c>
      <c r="AB174" s="5" t="str">
        <f t="shared" si="27"/>
        <v>18 - 19 hr</v>
      </c>
      <c r="AC174" s="5" t="s">
        <v>30</v>
      </c>
      <c r="AD174" s="11">
        <v>45918</v>
      </c>
      <c r="AE174" s="11">
        <v>0.57064814814814813</v>
      </c>
      <c r="AF174" s="5" t="s">
        <v>18</v>
      </c>
      <c r="AG174" s="5" t="s">
        <v>18</v>
      </c>
      <c r="AH174" s="5" t="s">
        <v>49</v>
      </c>
      <c r="AI174" s="5">
        <v>9400552009</v>
      </c>
      <c r="AJ174" s="5" t="s">
        <v>176</v>
      </c>
      <c r="AK174" s="5" t="s">
        <v>177</v>
      </c>
      <c r="AL174" s="5" t="s">
        <v>29</v>
      </c>
      <c r="AM174" s="5" t="s">
        <v>102</v>
      </c>
      <c r="AN174" s="5">
        <v>8</v>
      </c>
      <c r="AO174" s="5" t="s">
        <v>24</v>
      </c>
      <c r="AP174" s="5" t="s">
        <v>25</v>
      </c>
      <c r="AQ174" s="5">
        <f t="shared" si="21"/>
        <v>138.94416666665347</v>
      </c>
      <c r="AR174" s="5">
        <f t="shared" si="22"/>
        <v>5.79</v>
      </c>
      <c r="AS174" s="5" t="str">
        <f t="shared" si="23"/>
        <v>5-8 days</v>
      </c>
      <c r="AT174" s="5" t="str">
        <f t="shared" ca="1" si="28"/>
        <v>STATUS-COMPLETE</v>
      </c>
      <c r="AU174" s="5" t="str">
        <f t="shared" ca="1" si="29"/>
        <v>STATUS-COMPLETE</v>
      </c>
    </row>
    <row r="175" spans="1:56" x14ac:dyDescent="0.3">
      <c r="A175" s="5">
        <v>75874997731</v>
      </c>
      <c r="B175" s="6">
        <v>45888</v>
      </c>
      <c r="C175" s="11">
        <v>0.8033217592592593</v>
      </c>
      <c r="D175" s="5" t="s">
        <v>48</v>
      </c>
      <c r="E175" s="11"/>
      <c r="F175" s="11"/>
      <c r="G175" s="5" t="s">
        <v>18</v>
      </c>
      <c r="H175" s="5" t="s">
        <v>18</v>
      </c>
      <c r="I175" s="5" t="s">
        <v>27</v>
      </c>
      <c r="J175" s="5">
        <v>7919066362</v>
      </c>
      <c r="K175" s="5" t="s">
        <v>240</v>
      </c>
      <c r="L175" s="5" t="s">
        <v>115</v>
      </c>
      <c r="M175" s="5" t="s">
        <v>33</v>
      </c>
      <c r="N175" s="5" t="s">
        <v>116</v>
      </c>
      <c r="O175" s="5">
        <v>2</v>
      </c>
      <c r="P175" s="5" t="s">
        <v>34</v>
      </c>
      <c r="Q175" s="5" t="s">
        <v>67</v>
      </c>
      <c r="U175" s="5">
        <v>75858703133</v>
      </c>
      <c r="V175" s="11">
        <v>45912</v>
      </c>
      <c r="W175" s="11">
        <v>0.7298958333333333</v>
      </c>
      <c r="X175" s="5">
        <f t="shared" si="20"/>
        <v>9</v>
      </c>
      <c r="Y175" s="5">
        <f t="shared" si="24"/>
        <v>37</v>
      </c>
      <c r="Z175" s="5">
        <f t="shared" si="25"/>
        <v>12</v>
      </c>
      <c r="AA175" s="5">
        <f t="shared" si="26"/>
        <v>6</v>
      </c>
      <c r="AB175" s="5" t="str">
        <f t="shared" si="27"/>
        <v>17 - 18 hr</v>
      </c>
      <c r="AC175" s="5" t="s">
        <v>78</v>
      </c>
      <c r="AD175" s="11">
        <v>45919</v>
      </c>
      <c r="AE175" s="11">
        <v>0.55350694444444448</v>
      </c>
      <c r="AF175" s="5" t="s">
        <v>18</v>
      </c>
      <c r="AG175" s="5" t="s">
        <v>18</v>
      </c>
      <c r="AH175" s="5" t="s">
        <v>49</v>
      </c>
      <c r="AI175" s="5">
        <v>9763021449</v>
      </c>
      <c r="AJ175" s="5" t="s">
        <v>264</v>
      </c>
      <c r="AK175" s="5" t="s">
        <v>265</v>
      </c>
      <c r="AL175" s="5" t="s">
        <v>82</v>
      </c>
      <c r="AM175" s="5" t="s">
        <v>52</v>
      </c>
      <c r="AN175" s="5">
        <v>8</v>
      </c>
      <c r="AO175" s="5" t="s">
        <v>24</v>
      </c>
      <c r="AP175" s="5" t="s">
        <v>25</v>
      </c>
      <c r="AQ175" s="5">
        <f t="shared" si="21"/>
        <v>163.76666666666279</v>
      </c>
      <c r="AR175" s="5">
        <f t="shared" si="22"/>
        <v>6.82</v>
      </c>
      <c r="AS175" s="5" t="str">
        <f t="shared" si="23"/>
        <v>5-8 days</v>
      </c>
      <c r="AT175" s="5" t="str">
        <f t="shared" ca="1" si="28"/>
        <v>STATUS-COMPLETE</v>
      </c>
      <c r="AU175" s="5" t="str">
        <f t="shared" ca="1" si="29"/>
        <v>STATUS-COMPLETE</v>
      </c>
      <c r="AZ175" s="2" t="s">
        <v>394</v>
      </c>
      <c r="BA175" s="2" t="s">
        <v>393</v>
      </c>
    </row>
    <row r="176" spans="1:56" x14ac:dyDescent="0.3">
      <c r="A176" s="5">
        <v>75875368059</v>
      </c>
      <c r="B176" s="6">
        <v>45908</v>
      </c>
      <c r="C176" s="11">
        <v>0.58028935185185182</v>
      </c>
      <c r="D176" s="5" t="s">
        <v>55</v>
      </c>
      <c r="E176" s="11">
        <v>45918</v>
      </c>
      <c r="F176" s="11">
        <v>0.53440972222222227</v>
      </c>
      <c r="G176" s="5" t="s">
        <v>18</v>
      </c>
      <c r="H176" s="5" t="s">
        <v>18</v>
      </c>
      <c r="I176" s="5" t="s">
        <v>36</v>
      </c>
      <c r="J176" s="5">
        <v>8311598149</v>
      </c>
      <c r="K176" s="5" t="s">
        <v>92</v>
      </c>
      <c r="L176" s="5" t="s">
        <v>93</v>
      </c>
      <c r="M176" s="5" t="s">
        <v>29</v>
      </c>
      <c r="N176" s="5" t="s">
        <v>94</v>
      </c>
      <c r="O176" s="5">
        <v>7</v>
      </c>
      <c r="P176" s="5" t="s">
        <v>24</v>
      </c>
      <c r="Q176" s="5" t="s">
        <v>25</v>
      </c>
      <c r="U176" s="5">
        <v>75472980019</v>
      </c>
      <c r="V176" s="11">
        <v>45912</v>
      </c>
      <c r="W176" s="11">
        <v>0.83958333333333335</v>
      </c>
      <c r="X176" s="5">
        <f t="shared" si="20"/>
        <v>9</v>
      </c>
      <c r="Y176" s="5">
        <f t="shared" si="24"/>
        <v>37</v>
      </c>
      <c r="Z176" s="5">
        <f t="shared" si="25"/>
        <v>12</v>
      </c>
      <c r="AA176" s="5">
        <f t="shared" si="26"/>
        <v>6</v>
      </c>
      <c r="AB176" s="5" t="str">
        <f t="shared" si="27"/>
        <v>20 - 21 hr</v>
      </c>
      <c r="AC176" s="5" t="s">
        <v>26</v>
      </c>
      <c r="AD176" s="11">
        <v>45913</v>
      </c>
      <c r="AE176" s="11">
        <v>0.63116898148148148</v>
      </c>
      <c r="AF176" s="5" t="s">
        <v>18</v>
      </c>
      <c r="AG176" s="5" t="s">
        <v>18</v>
      </c>
      <c r="AH176" s="5" t="s">
        <v>49</v>
      </c>
      <c r="AI176" s="5">
        <v>7790479137</v>
      </c>
      <c r="AJ176" s="5" t="s">
        <v>276</v>
      </c>
      <c r="AK176" s="5" t="s">
        <v>191</v>
      </c>
      <c r="AL176" s="5" t="s">
        <v>82</v>
      </c>
      <c r="AM176" s="5" t="s">
        <v>86</v>
      </c>
      <c r="AN176" s="5">
        <v>6</v>
      </c>
      <c r="AO176" s="5" t="s">
        <v>24</v>
      </c>
      <c r="AP176" s="5" t="s">
        <v>25</v>
      </c>
      <c r="AQ176" s="5">
        <f t="shared" si="21"/>
        <v>18.99805555556668</v>
      </c>
      <c r="AR176" s="5">
        <f t="shared" si="22"/>
        <v>0.79</v>
      </c>
      <c r="AS176" s="5" t="str">
        <f t="shared" si="23"/>
        <v>1-4 days</v>
      </c>
      <c r="AT176" s="5" t="str">
        <f t="shared" ca="1" si="28"/>
        <v>STATUS-COMPLETE</v>
      </c>
      <c r="AU176" s="5" t="str">
        <f t="shared" ca="1" si="29"/>
        <v>STATUS-COMPLETE</v>
      </c>
      <c r="AZ176" s="2" t="s">
        <v>391</v>
      </c>
      <c r="BA176" t="s">
        <v>663</v>
      </c>
      <c r="BB176" t="s">
        <v>664</v>
      </c>
      <c r="BC176" t="s">
        <v>392</v>
      </c>
    </row>
    <row r="177" spans="1:55" x14ac:dyDescent="0.3">
      <c r="A177" s="5">
        <v>75875788930</v>
      </c>
      <c r="B177" s="6">
        <v>45873</v>
      </c>
      <c r="C177" s="11">
        <v>0.81077546296296299</v>
      </c>
      <c r="D177" s="5" t="s">
        <v>58</v>
      </c>
      <c r="E177" s="11"/>
      <c r="F177" s="11"/>
      <c r="G177" s="5" t="s">
        <v>18</v>
      </c>
      <c r="H177" s="5" t="s">
        <v>18</v>
      </c>
      <c r="I177" s="5" t="s">
        <v>49</v>
      </c>
      <c r="J177" s="5">
        <v>8898565319</v>
      </c>
      <c r="K177" s="5" t="s">
        <v>158</v>
      </c>
      <c r="L177" s="5" t="s">
        <v>159</v>
      </c>
      <c r="M177" s="5" t="s">
        <v>33</v>
      </c>
      <c r="N177" s="5" t="s">
        <v>102</v>
      </c>
      <c r="O177" s="5">
        <v>4</v>
      </c>
      <c r="P177" s="5" t="s">
        <v>24</v>
      </c>
      <c r="Q177" s="5" t="s">
        <v>25</v>
      </c>
      <c r="U177" s="5">
        <v>75416891857</v>
      </c>
      <c r="V177" s="11">
        <v>45912</v>
      </c>
      <c r="W177" s="11">
        <v>0.39901620370370372</v>
      </c>
      <c r="X177" s="5">
        <f t="shared" si="20"/>
        <v>9</v>
      </c>
      <c r="Y177" s="5">
        <f t="shared" si="24"/>
        <v>37</v>
      </c>
      <c r="Z177" s="5">
        <f t="shared" si="25"/>
        <v>12</v>
      </c>
      <c r="AA177" s="5">
        <f t="shared" si="26"/>
        <v>6</v>
      </c>
      <c r="AB177" s="5" t="str">
        <f t="shared" si="27"/>
        <v>9 - 10 hr</v>
      </c>
      <c r="AC177" s="5" t="s">
        <v>55</v>
      </c>
      <c r="AD177" s="11"/>
      <c r="AE177" s="11"/>
      <c r="AF177" s="5" t="s">
        <v>18</v>
      </c>
      <c r="AG177" s="5" t="s">
        <v>18</v>
      </c>
      <c r="AH177" s="5" t="s">
        <v>19</v>
      </c>
      <c r="AI177" s="5">
        <v>7050899550</v>
      </c>
      <c r="AJ177" s="5" t="s">
        <v>277</v>
      </c>
      <c r="AK177" s="5" t="s">
        <v>91</v>
      </c>
      <c r="AL177" s="5" t="s">
        <v>29</v>
      </c>
      <c r="AM177" s="5" t="s">
        <v>63</v>
      </c>
      <c r="AN177" s="5">
        <v>7</v>
      </c>
      <c r="AO177" s="5" t="s">
        <v>34</v>
      </c>
      <c r="AP177" s="5" t="s">
        <v>60</v>
      </c>
      <c r="AQ177" s="5" t="str">
        <f t="shared" si="21"/>
        <v>Issue_pending</v>
      </c>
      <c r="AR177" s="5" t="str">
        <f t="shared" si="22"/>
        <v>Issue_pending</v>
      </c>
      <c r="AS177" s="5" t="str">
        <f t="shared" si="23"/>
        <v>Issue_pending</v>
      </c>
      <c r="AT177" s="5">
        <f t="shared" ca="1" si="28"/>
        <v>18</v>
      </c>
      <c r="AU177" s="5" t="str">
        <f t="shared" ca="1" si="29"/>
        <v>8-20 days</v>
      </c>
      <c r="AZ177" s="3" t="s">
        <v>48</v>
      </c>
      <c r="BA177" s="64">
        <v>5</v>
      </c>
      <c r="BB177" s="64">
        <v>3</v>
      </c>
      <c r="BC177" s="64">
        <v>8</v>
      </c>
    </row>
    <row r="178" spans="1:55" x14ac:dyDescent="0.3">
      <c r="A178" s="5">
        <v>75879182105</v>
      </c>
      <c r="B178" s="6">
        <v>45881</v>
      </c>
      <c r="C178" s="11">
        <v>0.52729166666666671</v>
      </c>
      <c r="D178" s="5" t="s">
        <v>48</v>
      </c>
      <c r="E178" s="11">
        <v>45888</v>
      </c>
      <c r="F178" s="11">
        <v>0.71337962962962964</v>
      </c>
      <c r="G178" s="5" t="s">
        <v>18</v>
      </c>
      <c r="H178" s="5" t="s">
        <v>18</v>
      </c>
      <c r="I178" s="5" t="s">
        <v>49</v>
      </c>
      <c r="J178" s="5">
        <v>7859759428</v>
      </c>
      <c r="K178" s="5" t="s">
        <v>207</v>
      </c>
      <c r="L178" s="5" t="s">
        <v>208</v>
      </c>
      <c r="M178" s="5" t="s">
        <v>33</v>
      </c>
      <c r="N178" s="5" t="s">
        <v>102</v>
      </c>
      <c r="O178" s="5">
        <v>7</v>
      </c>
      <c r="P178" s="5" t="s">
        <v>24</v>
      </c>
      <c r="Q178" s="5" t="s">
        <v>25</v>
      </c>
      <c r="U178" s="5">
        <v>75575913951</v>
      </c>
      <c r="V178" s="11">
        <v>45912</v>
      </c>
      <c r="W178" s="11">
        <v>0.68232638888888886</v>
      </c>
      <c r="X178" s="5">
        <f t="shared" si="20"/>
        <v>9</v>
      </c>
      <c r="Y178" s="5">
        <f t="shared" si="24"/>
        <v>37</v>
      </c>
      <c r="Z178" s="5">
        <f t="shared" si="25"/>
        <v>12</v>
      </c>
      <c r="AA178" s="5">
        <f t="shared" si="26"/>
        <v>6</v>
      </c>
      <c r="AB178" s="5" t="str">
        <f t="shared" si="27"/>
        <v>16 - 17 hr</v>
      </c>
      <c r="AC178" s="5" t="s">
        <v>46</v>
      </c>
      <c r="AD178" s="11">
        <v>45914</v>
      </c>
      <c r="AE178" s="11">
        <v>0.40634259259259259</v>
      </c>
      <c r="AF178" s="5" t="s">
        <v>18</v>
      </c>
      <c r="AG178" s="5" t="s">
        <v>18</v>
      </c>
      <c r="AH178" s="5" t="s">
        <v>19</v>
      </c>
      <c r="AI178" s="5">
        <v>8113457241</v>
      </c>
      <c r="AJ178" s="5" t="s">
        <v>336</v>
      </c>
      <c r="AK178" s="5" t="s">
        <v>324</v>
      </c>
      <c r="AL178" s="5" t="s">
        <v>22</v>
      </c>
      <c r="AM178" s="5" t="s">
        <v>63</v>
      </c>
      <c r="AN178" s="5">
        <v>6</v>
      </c>
      <c r="AO178" s="5" t="s">
        <v>24</v>
      </c>
      <c r="AP178" s="5" t="s">
        <v>25</v>
      </c>
      <c r="AQ178" s="5">
        <f t="shared" si="21"/>
        <v>41.37638888892252</v>
      </c>
      <c r="AR178" s="5">
        <f t="shared" si="22"/>
        <v>1.72</v>
      </c>
      <c r="AS178" s="5" t="str">
        <f t="shared" si="23"/>
        <v>1-4 days</v>
      </c>
      <c r="AT178" s="5" t="str">
        <f t="shared" ca="1" si="28"/>
        <v>STATUS-COMPLETE</v>
      </c>
      <c r="AU178" s="5" t="str">
        <f t="shared" ca="1" si="29"/>
        <v>STATUS-COMPLETE</v>
      </c>
      <c r="AZ178" s="3" t="s">
        <v>30</v>
      </c>
      <c r="BA178" s="64">
        <v>4</v>
      </c>
      <c r="BB178" s="64">
        <v>4</v>
      </c>
      <c r="BC178" s="64">
        <v>8</v>
      </c>
    </row>
    <row r="179" spans="1:55" x14ac:dyDescent="0.3">
      <c r="A179" s="5">
        <v>75881331845</v>
      </c>
      <c r="B179" s="6">
        <v>45878</v>
      </c>
      <c r="C179" s="11">
        <v>0.60598379629629628</v>
      </c>
      <c r="D179" s="5" t="s">
        <v>17</v>
      </c>
      <c r="E179" s="11">
        <v>45887</v>
      </c>
      <c r="F179" s="11">
        <v>0.44935185185185184</v>
      </c>
      <c r="G179" s="5" t="s">
        <v>18</v>
      </c>
      <c r="H179" s="5" t="s">
        <v>18</v>
      </c>
      <c r="I179" s="5" t="s">
        <v>49</v>
      </c>
      <c r="J179" s="5">
        <v>8941348507</v>
      </c>
      <c r="K179" s="5" t="s">
        <v>144</v>
      </c>
      <c r="L179" s="5" t="s">
        <v>145</v>
      </c>
      <c r="M179" s="5" t="s">
        <v>29</v>
      </c>
      <c r="N179" s="5" t="s">
        <v>52</v>
      </c>
      <c r="O179" s="5">
        <v>2</v>
      </c>
      <c r="P179" s="5" t="s">
        <v>24</v>
      </c>
      <c r="Q179" s="5" t="s">
        <v>25</v>
      </c>
      <c r="U179" s="5">
        <v>75988343096</v>
      </c>
      <c r="V179" s="11">
        <v>45913</v>
      </c>
      <c r="W179" s="11">
        <v>0.38840277777777776</v>
      </c>
      <c r="X179" s="5">
        <f t="shared" si="20"/>
        <v>9</v>
      </c>
      <c r="Y179" s="5">
        <f t="shared" si="24"/>
        <v>37</v>
      </c>
      <c r="Z179" s="5">
        <f t="shared" si="25"/>
        <v>13</v>
      </c>
      <c r="AA179" s="5">
        <f t="shared" si="26"/>
        <v>7</v>
      </c>
      <c r="AB179" s="5" t="str">
        <f t="shared" si="27"/>
        <v>9 - 10 hr</v>
      </c>
      <c r="AC179" s="5" t="s">
        <v>26</v>
      </c>
      <c r="AD179" s="11">
        <v>45916</v>
      </c>
      <c r="AE179" s="11">
        <v>0.77521990740740743</v>
      </c>
      <c r="AF179" s="5" t="s">
        <v>18</v>
      </c>
      <c r="AG179" s="5" t="s">
        <v>18</v>
      </c>
      <c r="AH179" s="5" t="s">
        <v>36</v>
      </c>
      <c r="AI179" s="5">
        <v>8846355528</v>
      </c>
      <c r="AJ179" s="5" t="s">
        <v>37</v>
      </c>
      <c r="AK179" s="5" t="s">
        <v>38</v>
      </c>
      <c r="AL179" s="5" t="s">
        <v>29</v>
      </c>
      <c r="AM179" s="5" t="s">
        <v>39</v>
      </c>
      <c r="AN179" s="5">
        <v>1</v>
      </c>
      <c r="AO179" s="5" t="s">
        <v>24</v>
      </c>
      <c r="AP179" s="5" t="s">
        <v>25</v>
      </c>
      <c r="AQ179" s="5">
        <f t="shared" si="21"/>
        <v>81.283611111226492</v>
      </c>
      <c r="AR179" s="5">
        <f t="shared" si="22"/>
        <v>3.39</v>
      </c>
      <c r="AS179" s="5" t="str">
        <f t="shared" si="23"/>
        <v>1-4 days</v>
      </c>
      <c r="AT179" s="5" t="str">
        <f t="shared" ca="1" si="28"/>
        <v>STATUS-COMPLETE</v>
      </c>
      <c r="AU179" s="5" t="str">
        <f t="shared" ca="1" si="29"/>
        <v>STATUS-COMPLETE</v>
      </c>
      <c r="AZ179" s="3" t="s">
        <v>58</v>
      </c>
      <c r="BA179" s="64">
        <v>4</v>
      </c>
      <c r="BB179" s="64">
        <v>3</v>
      </c>
      <c r="BC179" s="64">
        <v>7</v>
      </c>
    </row>
    <row r="180" spans="1:55" x14ac:dyDescent="0.3">
      <c r="A180" s="5">
        <v>75882727494</v>
      </c>
      <c r="B180" s="6">
        <v>45910</v>
      </c>
      <c r="C180" s="11">
        <v>0.76902777777777775</v>
      </c>
      <c r="D180" s="5" t="s">
        <v>43</v>
      </c>
      <c r="E180" s="11">
        <v>45921</v>
      </c>
      <c r="F180" s="11">
        <v>0.6423726851851852</v>
      </c>
      <c r="G180" s="5" t="s">
        <v>18</v>
      </c>
      <c r="H180" s="5" t="s">
        <v>18</v>
      </c>
      <c r="I180" s="5" t="s">
        <v>49</v>
      </c>
      <c r="J180" s="5">
        <v>7922542252</v>
      </c>
      <c r="K180" s="5" t="s">
        <v>304</v>
      </c>
      <c r="L180" s="5" t="s">
        <v>261</v>
      </c>
      <c r="M180" s="5" t="s">
        <v>82</v>
      </c>
      <c r="N180" s="5" t="s">
        <v>86</v>
      </c>
      <c r="O180" s="5">
        <v>5</v>
      </c>
      <c r="P180" s="5" t="s">
        <v>24</v>
      </c>
      <c r="Q180" s="5" t="s">
        <v>25</v>
      </c>
      <c r="U180" s="5">
        <v>75500273738</v>
      </c>
      <c r="V180" s="11">
        <v>45913</v>
      </c>
      <c r="W180" s="11">
        <v>0.53008101851851852</v>
      </c>
      <c r="X180" s="5">
        <f t="shared" si="20"/>
        <v>9</v>
      </c>
      <c r="Y180" s="5">
        <f t="shared" si="24"/>
        <v>37</v>
      </c>
      <c r="Z180" s="5">
        <f t="shared" si="25"/>
        <v>13</v>
      </c>
      <c r="AA180" s="5">
        <f t="shared" si="26"/>
        <v>7</v>
      </c>
      <c r="AB180" s="5" t="str">
        <f t="shared" si="27"/>
        <v>12 - 13 hr</v>
      </c>
      <c r="AC180" s="5" t="s">
        <v>26</v>
      </c>
      <c r="AD180" s="11">
        <v>45921</v>
      </c>
      <c r="AE180" s="11">
        <v>0.48755787037037035</v>
      </c>
      <c r="AF180" s="5" t="s">
        <v>18</v>
      </c>
      <c r="AG180" s="5" t="s">
        <v>18</v>
      </c>
      <c r="AH180" s="5" t="s">
        <v>19</v>
      </c>
      <c r="AI180" s="5">
        <v>7855256552</v>
      </c>
      <c r="AJ180" s="5" t="s">
        <v>40</v>
      </c>
      <c r="AK180" s="5" t="s">
        <v>41</v>
      </c>
      <c r="AL180" s="5" t="s">
        <v>33</v>
      </c>
      <c r="AM180" s="5" t="s">
        <v>42</v>
      </c>
      <c r="AN180" s="5">
        <v>8</v>
      </c>
      <c r="AO180" s="5" t="s">
        <v>24</v>
      </c>
      <c r="AP180" s="5" t="s">
        <v>25</v>
      </c>
      <c r="AQ180" s="5">
        <f t="shared" si="21"/>
        <v>190.97944444441237</v>
      </c>
      <c r="AR180" s="5">
        <f t="shared" si="22"/>
        <v>7.96</v>
      </c>
      <c r="AS180" s="5" t="str">
        <f t="shared" si="23"/>
        <v>5-8 days</v>
      </c>
      <c r="AT180" s="5" t="str">
        <f t="shared" ca="1" si="28"/>
        <v>STATUS-COMPLETE</v>
      </c>
      <c r="AU180" s="5" t="str">
        <f t="shared" ca="1" si="29"/>
        <v>STATUS-COMPLETE</v>
      </c>
      <c r="AZ180" s="3" t="s">
        <v>55</v>
      </c>
      <c r="BA180" s="64">
        <v>4</v>
      </c>
      <c r="BB180" s="64">
        <v>2</v>
      </c>
      <c r="BC180" s="64">
        <v>6</v>
      </c>
    </row>
    <row r="181" spans="1:55" x14ac:dyDescent="0.3">
      <c r="A181" s="5">
        <v>75882896428</v>
      </c>
      <c r="B181" s="6">
        <v>45897</v>
      </c>
      <c r="C181" s="11">
        <v>0.55758101851851849</v>
      </c>
      <c r="D181" s="5" t="s">
        <v>17</v>
      </c>
      <c r="E181" s="11">
        <v>45908</v>
      </c>
      <c r="F181" s="11">
        <v>0.51383101851851853</v>
      </c>
      <c r="G181" s="5" t="s">
        <v>18</v>
      </c>
      <c r="H181" s="5" t="s">
        <v>18</v>
      </c>
      <c r="I181" s="5" t="s">
        <v>27</v>
      </c>
      <c r="J181" s="5">
        <v>8885790857</v>
      </c>
      <c r="K181" s="5" t="s">
        <v>314</v>
      </c>
      <c r="L181" s="5" t="s">
        <v>119</v>
      </c>
      <c r="M181" s="5" t="s">
        <v>22</v>
      </c>
      <c r="N181" s="5" t="s">
        <v>116</v>
      </c>
      <c r="O181" s="5">
        <v>7</v>
      </c>
      <c r="P181" s="5" t="s">
        <v>24</v>
      </c>
      <c r="Q181" s="5" t="s">
        <v>25</v>
      </c>
      <c r="U181" s="5">
        <v>75437365109</v>
      </c>
      <c r="V181" s="11">
        <v>45913</v>
      </c>
      <c r="W181" s="11">
        <v>0.46128472222222222</v>
      </c>
      <c r="X181" s="5">
        <f t="shared" si="20"/>
        <v>9</v>
      </c>
      <c r="Y181" s="5">
        <f t="shared" si="24"/>
        <v>37</v>
      </c>
      <c r="Z181" s="5">
        <f t="shared" si="25"/>
        <v>13</v>
      </c>
      <c r="AA181" s="5">
        <f t="shared" si="26"/>
        <v>7</v>
      </c>
      <c r="AB181" s="5" t="str">
        <f t="shared" si="27"/>
        <v>11 - 12 hr</v>
      </c>
      <c r="AC181" s="5" t="s">
        <v>78</v>
      </c>
      <c r="AD181" s="11">
        <v>45914</v>
      </c>
      <c r="AE181" s="11">
        <v>0.49627314814814816</v>
      </c>
      <c r="AF181" s="5" t="s">
        <v>18</v>
      </c>
      <c r="AG181" s="5" t="s">
        <v>18</v>
      </c>
      <c r="AH181" s="5" t="s">
        <v>27</v>
      </c>
      <c r="AI181" s="5">
        <v>8555424924</v>
      </c>
      <c r="AJ181" s="5" t="s">
        <v>204</v>
      </c>
      <c r="AK181" s="5" t="s">
        <v>205</v>
      </c>
      <c r="AL181" s="5" t="s">
        <v>29</v>
      </c>
      <c r="AM181" s="5" t="s">
        <v>203</v>
      </c>
      <c r="AN181" s="5">
        <v>7</v>
      </c>
      <c r="AO181" s="5" t="s">
        <v>24</v>
      </c>
      <c r="AP181" s="5" t="s">
        <v>25</v>
      </c>
      <c r="AQ181" s="5">
        <f t="shared" si="21"/>
        <v>24.839722222241107</v>
      </c>
      <c r="AR181" s="5">
        <f t="shared" si="22"/>
        <v>1.03</v>
      </c>
      <c r="AS181" s="5" t="str">
        <f t="shared" si="23"/>
        <v>1-4 days</v>
      </c>
      <c r="AT181" s="5" t="str">
        <f t="shared" ca="1" si="28"/>
        <v>STATUS-COMPLETE</v>
      </c>
      <c r="AU181" s="5" t="str">
        <f t="shared" ca="1" si="29"/>
        <v>STATUS-COMPLETE</v>
      </c>
      <c r="AZ181" s="3" t="s">
        <v>26</v>
      </c>
      <c r="BA181" s="64">
        <v>4</v>
      </c>
      <c r="BB181" s="64">
        <v>1</v>
      </c>
      <c r="BC181" s="64">
        <v>5</v>
      </c>
    </row>
    <row r="182" spans="1:55" x14ac:dyDescent="0.3">
      <c r="A182" s="5">
        <v>75882897882</v>
      </c>
      <c r="B182" s="6">
        <v>45909</v>
      </c>
      <c r="C182" s="11">
        <v>0.77861111111111114</v>
      </c>
      <c r="D182" s="5" t="s">
        <v>78</v>
      </c>
      <c r="E182" s="11">
        <v>45916</v>
      </c>
      <c r="F182" s="11">
        <v>0.69276620370370368</v>
      </c>
      <c r="G182" s="5" t="s">
        <v>18</v>
      </c>
      <c r="H182" s="5" t="s">
        <v>18</v>
      </c>
      <c r="I182" s="5" t="s">
        <v>27</v>
      </c>
      <c r="J182" s="5">
        <v>9598480273</v>
      </c>
      <c r="K182" s="5" t="s">
        <v>171</v>
      </c>
      <c r="L182" s="5" t="s">
        <v>172</v>
      </c>
      <c r="M182" s="5" t="s">
        <v>22</v>
      </c>
      <c r="N182" s="5" t="s">
        <v>72</v>
      </c>
      <c r="O182" s="5">
        <v>2</v>
      </c>
      <c r="P182" s="5" t="s">
        <v>24</v>
      </c>
      <c r="Q182" s="5" t="s">
        <v>25</v>
      </c>
      <c r="U182" s="5">
        <v>75919884429</v>
      </c>
      <c r="V182" s="11">
        <v>45913</v>
      </c>
      <c r="W182" s="11">
        <v>0.51061342592592596</v>
      </c>
      <c r="X182" s="5">
        <f t="shared" si="20"/>
        <v>9</v>
      </c>
      <c r="Y182" s="5">
        <f t="shared" si="24"/>
        <v>37</v>
      </c>
      <c r="Z182" s="5">
        <f t="shared" si="25"/>
        <v>13</v>
      </c>
      <c r="AA182" s="5">
        <f t="shared" si="26"/>
        <v>7</v>
      </c>
      <c r="AB182" s="5" t="str">
        <f t="shared" si="27"/>
        <v>12 - 13 hr</v>
      </c>
      <c r="AC182" s="5" t="s">
        <v>46</v>
      </c>
      <c r="AD182" s="11"/>
      <c r="AE182" s="11"/>
      <c r="AF182" s="5" t="s">
        <v>18</v>
      </c>
      <c r="AG182" s="5" t="s">
        <v>18</v>
      </c>
      <c r="AH182" s="5" t="s">
        <v>36</v>
      </c>
      <c r="AI182" s="5">
        <v>8282044148</v>
      </c>
      <c r="AJ182" s="5" t="s">
        <v>236</v>
      </c>
      <c r="AK182" s="5" t="s">
        <v>237</v>
      </c>
      <c r="AL182" s="5" t="s">
        <v>33</v>
      </c>
      <c r="AM182" s="5" t="s">
        <v>39</v>
      </c>
      <c r="AN182" s="5">
        <v>9</v>
      </c>
      <c r="AO182" s="5" t="s">
        <v>34</v>
      </c>
      <c r="AP182" s="5" t="s">
        <v>35</v>
      </c>
      <c r="AQ182" s="5" t="str">
        <f t="shared" si="21"/>
        <v>Issue_pending</v>
      </c>
      <c r="AR182" s="5" t="str">
        <f t="shared" si="22"/>
        <v>Issue_pending</v>
      </c>
      <c r="AS182" s="5" t="str">
        <f t="shared" si="23"/>
        <v>Issue_pending</v>
      </c>
      <c r="AT182" s="5">
        <f t="shared" ca="1" si="28"/>
        <v>17</v>
      </c>
      <c r="AU182" s="5" t="str">
        <f t="shared" ca="1" si="29"/>
        <v>8-20 days</v>
      </c>
      <c r="AZ182" s="3" t="s">
        <v>95</v>
      </c>
      <c r="BA182" s="64">
        <v>3</v>
      </c>
      <c r="BB182" s="64">
        <v>2</v>
      </c>
      <c r="BC182" s="64">
        <v>5</v>
      </c>
    </row>
    <row r="183" spans="1:55" x14ac:dyDescent="0.3">
      <c r="A183" s="5">
        <v>75882954920</v>
      </c>
      <c r="B183" s="6">
        <v>45878</v>
      </c>
      <c r="C183" s="11">
        <v>0.58719907407407412</v>
      </c>
      <c r="D183" s="5" t="s">
        <v>26</v>
      </c>
      <c r="E183" s="11">
        <v>45883</v>
      </c>
      <c r="F183" s="11">
        <v>0.51505787037037032</v>
      </c>
      <c r="G183" s="5" t="s">
        <v>18</v>
      </c>
      <c r="H183" s="5" t="s">
        <v>18</v>
      </c>
      <c r="I183" s="5" t="s">
        <v>27</v>
      </c>
      <c r="J183" s="5">
        <v>7221348142</v>
      </c>
      <c r="K183" s="5" t="s">
        <v>268</v>
      </c>
      <c r="L183" s="5" t="s">
        <v>269</v>
      </c>
      <c r="M183" s="5" t="s">
        <v>22</v>
      </c>
      <c r="N183" s="5" t="s">
        <v>72</v>
      </c>
      <c r="O183" s="5">
        <v>5</v>
      </c>
      <c r="P183" s="5" t="s">
        <v>24</v>
      </c>
      <c r="Q183" s="5" t="s">
        <v>25</v>
      </c>
      <c r="U183" s="5">
        <v>75581747678</v>
      </c>
      <c r="V183" s="11">
        <v>45913</v>
      </c>
      <c r="W183" s="11">
        <v>0.4906712962962963</v>
      </c>
      <c r="X183" s="5">
        <f t="shared" si="20"/>
        <v>9</v>
      </c>
      <c r="Y183" s="5">
        <f t="shared" si="24"/>
        <v>37</v>
      </c>
      <c r="Z183" s="5">
        <f t="shared" si="25"/>
        <v>13</v>
      </c>
      <c r="AA183" s="5">
        <f t="shared" si="26"/>
        <v>7</v>
      </c>
      <c r="AB183" s="5" t="str">
        <f t="shared" si="27"/>
        <v>11 - 12 hr</v>
      </c>
      <c r="AC183" s="5" t="s">
        <v>48</v>
      </c>
      <c r="AD183" s="11">
        <v>45921</v>
      </c>
      <c r="AE183" s="11">
        <v>0.68692129629629628</v>
      </c>
      <c r="AF183" s="5" t="s">
        <v>18</v>
      </c>
      <c r="AG183" s="5" t="s">
        <v>18</v>
      </c>
      <c r="AH183" s="5" t="s">
        <v>49</v>
      </c>
      <c r="AI183" s="5">
        <v>7790479137</v>
      </c>
      <c r="AJ183" s="5" t="s">
        <v>275</v>
      </c>
      <c r="AK183" s="5" t="s">
        <v>244</v>
      </c>
      <c r="AL183" s="5" t="s">
        <v>33</v>
      </c>
      <c r="AM183" s="5" t="s">
        <v>66</v>
      </c>
      <c r="AN183" s="5">
        <v>1</v>
      </c>
      <c r="AO183" s="5" t="s">
        <v>24</v>
      </c>
      <c r="AP183" s="5" t="s">
        <v>25</v>
      </c>
      <c r="AQ183" s="5">
        <f t="shared" si="21"/>
        <v>196.71000000002095</v>
      </c>
      <c r="AR183" s="5">
        <f t="shared" si="22"/>
        <v>8.1999999999999993</v>
      </c>
      <c r="AS183" s="5" t="str">
        <f t="shared" si="23"/>
        <v>9-12 days</v>
      </c>
      <c r="AT183" s="5" t="str">
        <f t="shared" ca="1" si="28"/>
        <v>STATUS-COMPLETE</v>
      </c>
      <c r="AU183" s="5" t="str">
        <f t="shared" ca="1" si="29"/>
        <v>STATUS-COMPLETE</v>
      </c>
      <c r="AZ183" s="3" t="s">
        <v>665</v>
      </c>
      <c r="BA183" s="64">
        <v>4</v>
      </c>
      <c r="BB183" s="64">
        <v>1</v>
      </c>
      <c r="BC183" s="64">
        <v>5</v>
      </c>
    </row>
    <row r="184" spans="1:55" x14ac:dyDescent="0.3">
      <c r="A184" s="5">
        <v>75885242269</v>
      </c>
      <c r="B184" s="6">
        <v>45898</v>
      </c>
      <c r="C184" s="11">
        <v>0.56199074074074074</v>
      </c>
      <c r="D184" s="5" t="s">
        <v>17</v>
      </c>
      <c r="E184" s="11">
        <v>45905</v>
      </c>
      <c r="F184" s="11">
        <v>0.4405324074074074</v>
      </c>
      <c r="G184" s="5" t="s">
        <v>18</v>
      </c>
      <c r="H184" s="5" t="s">
        <v>18</v>
      </c>
      <c r="I184" s="5" t="s">
        <v>36</v>
      </c>
      <c r="J184" s="5">
        <v>7388354759</v>
      </c>
      <c r="K184" s="5" t="s">
        <v>350</v>
      </c>
      <c r="L184" s="5" t="s">
        <v>229</v>
      </c>
      <c r="M184" s="5" t="s">
        <v>82</v>
      </c>
      <c r="N184" s="5" t="s">
        <v>39</v>
      </c>
      <c r="O184" s="5">
        <v>3</v>
      </c>
      <c r="P184" s="5" t="s">
        <v>24</v>
      </c>
      <c r="Q184" s="5" t="s">
        <v>25</v>
      </c>
      <c r="U184" s="5">
        <v>75893472161</v>
      </c>
      <c r="V184" s="11">
        <v>45913</v>
      </c>
      <c r="W184" s="11">
        <v>0.3805439814814815</v>
      </c>
      <c r="X184" s="5">
        <f t="shared" si="20"/>
        <v>9</v>
      </c>
      <c r="Y184" s="5">
        <f t="shared" si="24"/>
        <v>37</v>
      </c>
      <c r="Z184" s="5">
        <f t="shared" si="25"/>
        <v>13</v>
      </c>
      <c r="AA184" s="5">
        <f t="shared" si="26"/>
        <v>7</v>
      </c>
      <c r="AB184" s="5" t="str">
        <f t="shared" si="27"/>
        <v>9 - 10 hr</v>
      </c>
      <c r="AC184" s="5" t="s">
        <v>95</v>
      </c>
      <c r="AD184" s="11"/>
      <c r="AE184" s="11"/>
      <c r="AF184" s="5" t="s">
        <v>18</v>
      </c>
      <c r="AG184" s="5" t="s">
        <v>18</v>
      </c>
      <c r="AH184" s="5" t="s">
        <v>49</v>
      </c>
      <c r="AI184" s="5">
        <v>8895308730</v>
      </c>
      <c r="AJ184" s="5" t="s">
        <v>321</v>
      </c>
      <c r="AK184" s="5" t="s">
        <v>322</v>
      </c>
      <c r="AL184" s="5" t="s">
        <v>22</v>
      </c>
      <c r="AM184" s="5" t="s">
        <v>86</v>
      </c>
      <c r="AN184" s="5">
        <v>4</v>
      </c>
      <c r="AO184" s="5" t="s">
        <v>34</v>
      </c>
      <c r="AP184" s="5" t="s">
        <v>67</v>
      </c>
      <c r="AQ184" s="5" t="str">
        <f t="shared" si="21"/>
        <v>Issue_pending</v>
      </c>
      <c r="AR184" s="5" t="str">
        <f t="shared" si="22"/>
        <v>Issue_pending</v>
      </c>
      <c r="AS184" s="5" t="str">
        <f t="shared" si="23"/>
        <v>Issue_pending</v>
      </c>
      <c r="AT184" s="5">
        <f t="shared" ca="1" si="28"/>
        <v>17</v>
      </c>
      <c r="AU184" s="5" t="str">
        <f t="shared" ca="1" si="29"/>
        <v>8-20 days</v>
      </c>
      <c r="AZ184" s="3" t="s">
        <v>78</v>
      </c>
      <c r="BA184" s="64">
        <v>4</v>
      </c>
      <c r="BB184" s="64">
        <v>1</v>
      </c>
      <c r="BC184" s="64">
        <v>5</v>
      </c>
    </row>
    <row r="185" spans="1:55" x14ac:dyDescent="0.3">
      <c r="A185" s="5">
        <v>75888365604</v>
      </c>
      <c r="B185" s="6">
        <v>45914</v>
      </c>
      <c r="C185" s="11">
        <v>0.43074074074074076</v>
      </c>
      <c r="D185" s="5" t="s">
        <v>78</v>
      </c>
      <c r="E185" s="11"/>
      <c r="F185" s="11"/>
      <c r="G185" s="5" t="s">
        <v>18</v>
      </c>
      <c r="H185" s="5" t="s">
        <v>18</v>
      </c>
      <c r="I185" s="5" t="s">
        <v>49</v>
      </c>
      <c r="J185" s="5">
        <v>7497879474</v>
      </c>
      <c r="K185" s="5" t="s">
        <v>105</v>
      </c>
      <c r="L185" s="5" t="s">
        <v>106</v>
      </c>
      <c r="M185" s="5" t="s">
        <v>22</v>
      </c>
      <c r="N185" s="5" t="s">
        <v>52</v>
      </c>
      <c r="O185" s="5">
        <v>7</v>
      </c>
      <c r="P185" s="5" t="s">
        <v>24</v>
      </c>
      <c r="Q185" s="5" t="s">
        <v>25</v>
      </c>
      <c r="U185" s="5">
        <v>75542071170</v>
      </c>
      <c r="V185" s="11">
        <v>45913</v>
      </c>
      <c r="W185" s="11">
        <v>0.79974537037037041</v>
      </c>
      <c r="X185" s="5">
        <f t="shared" si="20"/>
        <v>9</v>
      </c>
      <c r="Y185" s="5">
        <f t="shared" si="24"/>
        <v>37</v>
      </c>
      <c r="Z185" s="5">
        <f t="shared" si="25"/>
        <v>13</v>
      </c>
      <c r="AA185" s="5">
        <f t="shared" si="26"/>
        <v>7</v>
      </c>
      <c r="AB185" s="5" t="str">
        <f t="shared" si="27"/>
        <v>19 - 20 hr</v>
      </c>
      <c r="AC185" s="5" t="s">
        <v>43</v>
      </c>
      <c r="AD185" s="11">
        <v>45924</v>
      </c>
      <c r="AE185" s="11">
        <v>0.64723379629629629</v>
      </c>
      <c r="AF185" s="5" t="s">
        <v>18</v>
      </c>
      <c r="AG185" s="5" t="s">
        <v>18</v>
      </c>
      <c r="AH185" s="5" t="s">
        <v>36</v>
      </c>
      <c r="AI185" s="5">
        <v>7961084962</v>
      </c>
      <c r="AJ185" s="5" t="s">
        <v>388</v>
      </c>
      <c r="AK185" s="5" t="s">
        <v>54</v>
      </c>
      <c r="AL185" s="5" t="s">
        <v>22</v>
      </c>
      <c r="AM185" s="5" t="s">
        <v>42</v>
      </c>
      <c r="AN185" s="5">
        <v>8</v>
      </c>
      <c r="AO185" s="5" t="s">
        <v>24</v>
      </c>
      <c r="AP185" s="5" t="s">
        <v>25</v>
      </c>
      <c r="AQ185" s="5">
        <f t="shared" si="21"/>
        <v>260.33972222224111</v>
      </c>
      <c r="AR185" s="5">
        <f t="shared" si="22"/>
        <v>10.85</v>
      </c>
      <c r="AS185" s="5" t="str">
        <f t="shared" si="23"/>
        <v>9-12 days</v>
      </c>
      <c r="AT185" s="5" t="str">
        <f t="shared" ca="1" si="28"/>
        <v>STATUS-COMPLETE</v>
      </c>
      <c r="AU185" s="5" t="str">
        <f t="shared" ca="1" si="29"/>
        <v>STATUS-COMPLETE</v>
      </c>
      <c r="AZ185" s="3" t="s">
        <v>43</v>
      </c>
      <c r="BA185" s="64">
        <v>3</v>
      </c>
      <c r="BB185" s="64">
        <v>1</v>
      </c>
      <c r="BC185" s="64">
        <v>4</v>
      </c>
    </row>
    <row r="186" spans="1:55" x14ac:dyDescent="0.3">
      <c r="A186" s="5">
        <v>75888529624</v>
      </c>
      <c r="B186" s="6">
        <v>45884</v>
      </c>
      <c r="C186" s="11">
        <v>0.85998842592592595</v>
      </c>
      <c r="D186" s="5" t="s">
        <v>55</v>
      </c>
      <c r="E186" s="11"/>
      <c r="F186" s="11"/>
      <c r="G186" s="5" t="s">
        <v>18</v>
      </c>
      <c r="H186" s="5" t="s">
        <v>18</v>
      </c>
      <c r="I186" s="5" t="s">
        <v>27</v>
      </c>
      <c r="J186" s="5">
        <v>9358944233</v>
      </c>
      <c r="K186" s="5" t="s">
        <v>252</v>
      </c>
      <c r="L186" s="5" t="s">
        <v>253</v>
      </c>
      <c r="M186" s="5" t="s">
        <v>82</v>
      </c>
      <c r="N186" s="5" t="s">
        <v>76</v>
      </c>
      <c r="O186" s="5">
        <v>7</v>
      </c>
      <c r="P186" s="5" t="s">
        <v>34</v>
      </c>
      <c r="Q186" s="5" t="s">
        <v>60</v>
      </c>
      <c r="U186" s="5">
        <v>75510152642</v>
      </c>
      <c r="V186" s="11">
        <v>45914</v>
      </c>
      <c r="W186" s="11">
        <v>0.40020833333333333</v>
      </c>
      <c r="X186" s="5">
        <f t="shared" si="20"/>
        <v>9</v>
      </c>
      <c r="Y186" s="5">
        <f t="shared" si="24"/>
        <v>38</v>
      </c>
      <c r="Z186" s="5">
        <f t="shared" si="25"/>
        <v>14</v>
      </c>
      <c r="AA186" s="5">
        <f t="shared" si="26"/>
        <v>1</v>
      </c>
      <c r="AB186" s="5" t="str">
        <f t="shared" si="27"/>
        <v>9 - 10 hr</v>
      </c>
      <c r="AC186" s="5" t="s">
        <v>48</v>
      </c>
      <c r="AD186" s="11"/>
      <c r="AE186" s="11"/>
      <c r="AF186" s="5" t="s">
        <v>18</v>
      </c>
      <c r="AG186" s="5" t="s">
        <v>18</v>
      </c>
      <c r="AH186" s="5" t="s">
        <v>27</v>
      </c>
      <c r="AI186" s="5">
        <v>9056061866</v>
      </c>
      <c r="AJ186" s="5" t="s">
        <v>88</v>
      </c>
      <c r="AK186" s="5" t="s">
        <v>89</v>
      </c>
      <c r="AL186" s="5" t="s">
        <v>29</v>
      </c>
      <c r="AM186" s="5" t="s">
        <v>76</v>
      </c>
      <c r="AN186" s="5">
        <v>2</v>
      </c>
      <c r="AO186" s="5" t="s">
        <v>34</v>
      </c>
      <c r="AP186" s="5" t="s">
        <v>35</v>
      </c>
      <c r="AQ186" s="5" t="str">
        <f t="shared" si="21"/>
        <v>Issue_pending</v>
      </c>
      <c r="AR186" s="5" t="str">
        <f t="shared" si="22"/>
        <v>Issue_pending</v>
      </c>
      <c r="AS186" s="5" t="str">
        <f t="shared" si="23"/>
        <v>Issue_pending</v>
      </c>
      <c r="AT186" s="5">
        <f t="shared" ca="1" si="28"/>
        <v>16</v>
      </c>
      <c r="AU186" s="5" t="str">
        <f t="shared" ca="1" si="29"/>
        <v>8-20 days</v>
      </c>
      <c r="AZ186" s="3" t="s">
        <v>17</v>
      </c>
      <c r="BA186" s="64">
        <v>4</v>
      </c>
      <c r="BB186" s="64"/>
      <c r="BC186" s="64">
        <v>4</v>
      </c>
    </row>
    <row r="187" spans="1:55" x14ac:dyDescent="0.3">
      <c r="A187" s="5">
        <v>75891819409</v>
      </c>
      <c r="B187" s="6">
        <v>45920</v>
      </c>
      <c r="C187" s="11">
        <v>0.7923958333333333</v>
      </c>
      <c r="D187" s="5" t="s">
        <v>48</v>
      </c>
      <c r="E187" s="11"/>
      <c r="F187" s="11"/>
      <c r="G187" s="5" t="s">
        <v>18</v>
      </c>
      <c r="H187" s="5" t="s">
        <v>18</v>
      </c>
      <c r="I187" s="5" t="s">
        <v>49</v>
      </c>
      <c r="J187" s="5">
        <v>8724932977</v>
      </c>
      <c r="K187" s="5" t="s">
        <v>146</v>
      </c>
      <c r="L187" s="5" t="s">
        <v>147</v>
      </c>
      <c r="M187" s="5" t="s">
        <v>33</v>
      </c>
      <c r="N187" s="5" t="s">
        <v>86</v>
      </c>
      <c r="O187" s="5">
        <v>4</v>
      </c>
      <c r="P187" s="5" t="s">
        <v>34</v>
      </c>
      <c r="Q187" s="5" t="s">
        <v>35</v>
      </c>
      <c r="U187" s="5">
        <v>75888365604</v>
      </c>
      <c r="V187" s="11">
        <v>45914</v>
      </c>
      <c r="W187" s="11">
        <v>0.43074074074074076</v>
      </c>
      <c r="X187" s="5">
        <f t="shared" si="20"/>
        <v>9</v>
      </c>
      <c r="Y187" s="5">
        <f t="shared" si="24"/>
        <v>38</v>
      </c>
      <c r="Z187" s="5">
        <f t="shared" si="25"/>
        <v>14</v>
      </c>
      <c r="AA187" s="5">
        <f t="shared" si="26"/>
        <v>1</v>
      </c>
      <c r="AB187" s="5" t="str">
        <f t="shared" si="27"/>
        <v>10 - 11 hr</v>
      </c>
      <c r="AC187" s="5" t="s">
        <v>78</v>
      </c>
      <c r="AD187" s="11"/>
      <c r="AE187" s="11"/>
      <c r="AF187" s="5" t="s">
        <v>18</v>
      </c>
      <c r="AG187" s="5" t="s">
        <v>18</v>
      </c>
      <c r="AH187" s="5" t="s">
        <v>49</v>
      </c>
      <c r="AI187" s="5">
        <v>7497879474</v>
      </c>
      <c r="AJ187" s="5" t="s">
        <v>105</v>
      </c>
      <c r="AK187" s="5" t="s">
        <v>106</v>
      </c>
      <c r="AL187" s="5" t="s">
        <v>22</v>
      </c>
      <c r="AM187" s="5" t="s">
        <v>52</v>
      </c>
      <c r="AN187" s="5">
        <v>7</v>
      </c>
      <c r="AO187" s="5" t="s">
        <v>24</v>
      </c>
      <c r="AP187" s="5" t="s">
        <v>25</v>
      </c>
      <c r="AQ187" s="5" t="str">
        <f t="shared" si="21"/>
        <v>Issue_solved_date_absent</v>
      </c>
      <c r="AR187" s="5" t="str">
        <f t="shared" si="22"/>
        <v>Issue_solved_date_absent</v>
      </c>
      <c r="AS187" s="5" t="str">
        <f t="shared" si="23"/>
        <v>Issue_solved_date_absent</v>
      </c>
      <c r="AT187" s="5" t="str">
        <f t="shared" ca="1" si="28"/>
        <v>STATUS-COMPLETE</v>
      </c>
      <c r="AU187" s="5" t="str">
        <f t="shared" ca="1" si="29"/>
        <v>STATUS-COMPLETE</v>
      </c>
      <c r="AZ187" s="3" t="s">
        <v>46</v>
      </c>
      <c r="BA187" s="64">
        <v>1</v>
      </c>
      <c r="BB187" s="64">
        <v>1</v>
      </c>
      <c r="BC187" s="64">
        <v>2</v>
      </c>
    </row>
    <row r="188" spans="1:55" x14ac:dyDescent="0.3">
      <c r="A188" s="5">
        <v>75893472161</v>
      </c>
      <c r="B188" s="6">
        <v>45913</v>
      </c>
      <c r="C188" s="11">
        <v>0.3805439814814815</v>
      </c>
      <c r="D188" s="5" t="s">
        <v>95</v>
      </c>
      <c r="E188" s="11"/>
      <c r="F188" s="11"/>
      <c r="G188" s="5" t="s">
        <v>18</v>
      </c>
      <c r="H188" s="5" t="s">
        <v>18</v>
      </c>
      <c r="I188" s="5" t="s">
        <v>49</v>
      </c>
      <c r="J188" s="5">
        <v>8895308730</v>
      </c>
      <c r="K188" s="5" t="s">
        <v>321</v>
      </c>
      <c r="L188" s="5" t="s">
        <v>322</v>
      </c>
      <c r="M188" s="5" t="s">
        <v>22</v>
      </c>
      <c r="N188" s="5" t="s">
        <v>86</v>
      </c>
      <c r="O188" s="5">
        <v>4</v>
      </c>
      <c r="P188" s="5" t="s">
        <v>34</v>
      </c>
      <c r="Q188" s="5" t="s">
        <v>67</v>
      </c>
      <c r="U188" s="5">
        <v>75530861323</v>
      </c>
      <c r="V188" s="11">
        <v>45914</v>
      </c>
      <c r="W188" s="11">
        <v>0.78025462962962966</v>
      </c>
      <c r="X188" s="5">
        <f t="shared" si="20"/>
        <v>9</v>
      </c>
      <c r="Y188" s="5">
        <f t="shared" si="24"/>
        <v>38</v>
      </c>
      <c r="Z188" s="5">
        <f t="shared" si="25"/>
        <v>14</v>
      </c>
      <c r="AA188" s="5">
        <f t="shared" si="26"/>
        <v>1</v>
      </c>
      <c r="AB188" s="5" t="str">
        <f t="shared" si="27"/>
        <v>18 - 19 hr</v>
      </c>
      <c r="AC188" s="5" t="s">
        <v>55</v>
      </c>
      <c r="AD188" s="11">
        <v>45920</v>
      </c>
      <c r="AE188" s="11">
        <v>0.68234953703703705</v>
      </c>
      <c r="AF188" s="5" t="s">
        <v>18</v>
      </c>
      <c r="AG188" s="5" t="s">
        <v>18</v>
      </c>
      <c r="AH188" s="5" t="s">
        <v>19</v>
      </c>
      <c r="AI188" s="5">
        <v>8694503971</v>
      </c>
      <c r="AJ188" s="5" t="s">
        <v>238</v>
      </c>
      <c r="AK188" s="5" t="s">
        <v>239</v>
      </c>
      <c r="AL188" s="5" t="s">
        <v>33</v>
      </c>
      <c r="AM188" s="5" t="s">
        <v>94</v>
      </c>
      <c r="AN188" s="5">
        <v>1</v>
      </c>
      <c r="AO188" s="5" t="s">
        <v>24</v>
      </c>
      <c r="AP188" s="5" t="s">
        <v>25</v>
      </c>
      <c r="AQ188" s="5">
        <f t="shared" si="21"/>
        <v>141.65027777769137</v>
      </c>
      <c r="AR188" s="5">
        <f t="shared" si="22"/>
        <v>5.9</v>
      </c>
      <c r="AS188" s="5" t="str">
        <f t="shared" si="23"/>
        <v>5-8 days</v>
      </c>
      <c r="AT188" s="5" t="str">
        <f t="shared" ca="1" si="28"/>
        <v>STATUS-COMPLETE</v>
      </c>
      <c r="AU188" s="5" t="str">
        <f t="shared" ca="1" si="29"/>
        <v>STATUS-COMPLETE</v>
      </c>
      <c r="AZ188" s="3" t="s">
        <v>392</v>
      </c>
      <c r="BA188" s="64">
        <v>40</v>
      </c>
      <c r="BB188" s="64">
        <v>19</v>
      </c>
      <c r="BC188" s="64">
        <v>59</v>
      </c>
    </row>
    <row r="189" spans="1:55" x14ac:dyDescent="0.3">
      <c r="A189" s="5">
        <v>75895663087</v>
      </c>
      <c r="B189" s="6">
        <v>45882</v>
      </c>
      <c r="C189" s="11">
        <v>0.8426851851851852</v>
      </c>
      <c r="D189" s="5" t="s">
        <v>30</v>
      </c>
      <c r="E189" s="11">
        <v>45891</v>
      </c>
      <c r="F189" s="11">
        <v>0.48876157407407406</v>
      </c>
      <c r="G189" s="5" t="s">
        <v>18</v>
      </c>
      <c r="H189" s="5" t="s">
        <v>18</v>
      </c>
      <c r="I189" s="5" t="s">
        <v>49</v>
      </c>
      <c r="J189" s="5">
        <v>9975704877</v>
      </c>
      <c r="K189" s="5" t="s">
        <v>294</v>
      </c>
      <c r="L189" s="5" t="s">
        <v>271</v>
      </c>
      <c r="M189" s="5" t="s">
        <v>22</v>
      </c>
      <c r="N189" s="5" t="s">
        <v>102</v>
      </c>
      <c r="O189" s="5">
        <v>5</v>
      </c>
      <c r="P189" s="5" t="s">
        <v>24</v>
      </c>
      <c r="Q189" s="5" t="s">
        <v>25</v>
      </c>
      <c r="U189" s="5">
        <v>75927215082</v>
      </c>
      <c r="V189" s="11">
        <v>45914</v>
      </c>
      <c r="W189" s="11">
        <v>0.78489583333333335</v>
      </c>
      <c r="X189" s="5">
        <f t="shared" si="20"/>
        <v>9</v>
      </c>
      <c r="Y189" s="5">
        <f t="shared" si="24"/>
        <v>38</v>
      </c>
      <c r="Z189" s="5">
        <f t="shared" si="25"/>
        <v>14</v>
      </c>
      <c r="AA189" s="5">
        <f t="shared" si="26"/>
        <v>1</v>
      </c>
      <c r="AB189" s="5" t="str">
        <f t="shared" si="27"/>
        <v>18 - 19 hr</v>
      </c>
      <c r="AC189" s="5" t="s">
        <v>78</v>
      </c>
      <c r="AD189" s="11">
        <v>45920</v>
      </c>
      <c r="AE189" s="11">
        <v>0.47592592592592592</v>
      </c>
      <c r="AF189" s="5" t="s">
        <v>18</v>
      </c>
      <c r="AG189" s="5" t="s">
        <v>18</v>
      </c>
      <c r="AH189" s="5" t="s">
        <v>49</v>
      </c>
      <c r="AI189" s="5">
        <v>8615145225</v>
      </c>
      <c r="AJ189" s="5" t="s">
        <v>293</v>
      </c>
      <c r="AK189" s="5" t="s">
        <v>218</v>
      </c>
      <c r="AL189" s="5" t="s">
        <v>33</v>
      </c>
      <c r="AM189" s="5" t="s">
        <v>66</v>
      </c>
      <c r="AN189" s="5">
        <v>4</v>
      </c>
      <c r="AO189" s="5" t="s">
        <v>24</v>
      </c>
      <c r="AP189" s="5" t="s">
        <v>25</v>
      </c>
      <c r="AQ189" s="5">
        <f t="shared" si="21"/>
        <v>136.58472222212004</v>
      </c>
      <c r="AR189" s="5">
        <f t="shared" si="22"/>
        <v>5.69</v>
      </c>
      <c r="AS189" s="5" t="str">
        <f t="shared" si="23"/>
        <v>5-8 days</v>
      </c>
      <c r="AT189" s="5" t="str">
        <f t="shared" ca="1" si="28"/>
        <v>STATUS-COMPLETE</v>
      </c>
      <c r="AU189" s="5" t="str">
        <f t="shared" ca="1" si="29"/>
        <v>STATUS-COMPLETE</v>
      </c>
    </row>
    <row r="190" spans="1:55" x14ac:dyDescent="0.3">
      <c r="A190" s="5">
        <v>75898165815</v>
      </c>
      <c r="B190" s="6">
        <v>45882</v>
      </c>
      <c r="C190" s="11">
        <v>0.7837615740740741</v>
      </c>
      <c r="D190" s="5" t="s">
        <v>48</v>
      </c>
      <c r="E190" s="11">
        <v>45885</v>
      </c>
      <c r="F190" s="11">
        <v>0.42487268518518517</v>
      </c>
      <c r="G190" s="5" t="s">
        <v>18</v>
      </c>
      <c r="H190" s="5" t="s">
        <v>18</v>
      </c>
      <c r="I190" s="5" t="s">
        <v>27</v>
      </c>
      <c r="J190" s="5">
        <v>9925445989</v>
      </c>
      <c r="K190" s="5" t="s">
        <v>168</v>
      </c>
      <c r="L190" s="5" t="s">
        <v>89</v>
      </c>
      <c r="M190" s="5" t="s">
        <v>29</v>
      </c>
      <c r="N190" s="5" t="s">
        <v>76</v>
      </c>
      <c r="O190" s="5">
        <v>8</v>
      </c>
      <c r="P190" s="5" t="s">
        <v>24</v>
      </c>
      <c r="Q190" s="5" t="s">
        <v>25</v>
      </c>
      <c r="U190" s="5">
        <v>75517434526</v>
      </c>
      <c r="V190" s="11">
        <v>45914</v>
      </c>
      <c r="W190" s="11">
        <v>0.52965277777777775</v>
      </c>
      <c r="X190" s="5">
        <f t="shared" si="20"/>
        <v>9</v>
      </c>
      <c r="Y190" s="5">
        <f t="shared" si="24"/>
        <v>38</v>
      </c>
      <c r="Z190" s="5">
        <f t="shared" si="25"/>
        <v>14</v>
      </c>
      <c r="AA190" s="5">
        <f t="shared" si="26"/>
        <v>1</v>
      </c>
      <c r="AB190" s="5" t="str">
        <f t="shared" si="27"/>
        <v>12 - 13 hr</v>
      </c>
      <c r="AC190" s="5" t="s">
        <v>78</v>
      </c>
      <c r="AD190" s="11"/>
      <c r="AE190" s="11"/>
      <c r="AF190" s="5" t="s">
        <v>18</v>
      </c>
      <c r="AG190" s="5" t="s">
        <v>18</v>
      </c>
      <c r="AH190" s="5" t="s">
        <v>49</v>
      </c>
      <c r="AI190" s="5">
        <v>7714418371</v>
      </c>
      <c r="AJ190" s="5" t="s">
        <v>296</v>
      </c>
      <c r="AK190" s="5" t="s">
        <v>297</v>
      </c>
      <c r="AL190" s="5" t="s">
        <v>22</v>
      </c>
      <c r="AM190" s="5" t="s">
        <v>86</v>
      </c>
      <c r="AN190" s="5">
        <v>5</v>
      </c>
      <c r="AO190" s="5" t="s">
        <v>34</v>
      </c>
      <c r="AP190" s="5" t="s">
        <v>35</v>
      </c>
      <c r="AQ190" s="5" t="str">
        <f t="shared" si="21"/>
        <v>Issue_pending</v>
      </c>
      <c r="AR190" s="5" t="str">
        <f t="shared" si="22"/>
        <v>Issue_pending</v>
      </c>
      <c r="AS190" s="5" t="str">
        <f t="shared" si="23"/>
        <v>Issue_pending</v>
      </c>
      <c r="AT190" s="5">
        <f t="shared" ca="1" si="28"/>
        <v>16</v>
      </c>
      <c r="AU190" s="5" t="str">
        <f t="shared" ca="1" si="29"/>
        <v>8-20 days</v>
      </c>
    </row>
    <row r="191" spans="1:55" x14ac:dyDescent="0.3">
      <c r="A191" s="5">
        <v>75899154414</v>
      </c>
      <c r="B191" s="6">
        <v>45916</v>
      </c>
      <c r="C191" s="11">
        <v>0.66164351851851855</v>
      </c>
      <c r="D191" s="5" t="s">
        <v>58</v>
      </c>
      <c r="E191" s="11">
        <v>45927</v>
      </c>
      <c r="F191" s="11">
        <v>0.56934027777777774</v>
      </c>
      <c r="G191" s="5" t="s">
        <v>18</v>
      </c>
      <c r="H191" s="5" t="s">
        <v>18</v>
      </c>
      <c r="I191" s="5" t="s">
        <v>49</v>
      </c>
      <c r="J191" s="5">
        <v>8152750071</v>
      </c>
      <c r="K191" s="5" t="s">
        <v>77</v>
      </c>
      <c r="L191" s="5" t="s">
        <v>51</v>
      </c>
      <c r="M191" s="5" t="s">
        <v>29</v>
      </c>
      <c r="N191" s="5" t="s">
        <v>52</v>
      </c>
      <c r="O191" s="5">
        <v>2</v>
      </c>
      <c r="P191" s="5" t="s">
        <v>24</v>
      </c>
      <c r="Q191" s="5" t="s">
        <v>25</v>
      </c>
      <c r="U191" s="5">
        <v>75627473778</v>
      </c>
      <c r="V191" s="11">
        <v>45914</v>
      </c>
      <c r="W191" s="11">
        <v>0.6787037037037037</v>
      </c>
      <c r="X191" s="5">
        <f t="shared" si="20"/>
        <v>9</v>
      </c>
      <c r="Y191" s="5">
        <f t="shared" si="24"/>
        <v>38</v>
      </c>
      <c r="Z191" s="5">
        <f t="shared" si="25"/>
        <v>14</v>
      </c>
      <c r="AA191" s="5">
        <f t="shared" si="26"/>
        <v>1</v>
      </c>
      <c r="AB191" s="5" t="str">
        <f t="shared" si="27"/>
        <v>16 - 17 hr</v>
      </c>
      <c r="AC191" s="5" t="s">
        <v>30</v>
      </c>
      <c r="AD191" s="11">
        <v>45916</v>
      </c>
      <c r="AE191" s="11">
        <v>0.72584490740740737</v>
      </c>
      <c r="AF191" s="5" t="s">
        <v>18</v>
      </c>
      <c r="AG191" s="5" t="s">
        <v>18</v>
      </c>
      <c r="AH191" s="5" t="s">
        <v>27</v>
      </c>
      <c r="AI191" s="5">
        <v>8450647350</v>
      </c>
      <c r="AJ191" s="5" t="s">
        <v>320</v>
      </c>
      <c r="AK191" s="5" t="s">
        <v>119</v>
      </c>
      <c r="AL191" s="5" t="s">
        <v>29</v>
      </c>
      <c r="AM191" s="5" t="s">
        <v>116</v>
      </c>
      <c r="AN191" s="5">
        <v>6</v>
      </c>
      <c r="AO191" s="5" t="s">
        <v>24</v>
      </c>
      <c r="AP191" s="5" t="s">
        <v>25</v>
      </c>
      <c r="AQ191" s="5">
        <f t="shared" si="21"/>
        <v>49.131388888810761</v>
      </c>
      <c r="AR191" s="5">
        <f t="shared" si="22"/>
        <v>2.0499999999999998</v>
      </c>
      <c r="AS191" s="5" t="str">
        <f t="shared" si="23"/>
        <v>1-4 days</v>
      </c>
      <c r="AT191" s="5" t="str">
        <f t="shared" ca="1" si="28"/>
        <v>STATUS-COMPLETE</v>
      </c>
      <c r="AU191" s="5" t="str">
        <f t="shared" ca="1" si="29"/>
        <v>STATUS-COMPLETE</v>
      </c>
    </row>
    <row r="192" spans="1:55" x14ac:dyDescent="0.3">
      <c r="A192" s="5">
        <v>75899714064</v>
      </c>
      <c r="B192" s="6">
        <v>45870</v>
      </c>
      <c r="C192" s="11">
        <v>0.54890046296296291</v>
      </c>
      <c r="D192" s="5" t="s">
        <v>46</v>
      </c>
      <c r="E192" s="11"/>
      <c r="F192" s="11"/>
      <c r="G192" s="5" t="s">
        <v>18</v>
      </c>
      <c r="H192" s="5" t="s">
        <v>18</v>
      </c>
      <c r="I192" s="5" t="s">
        <v>49</v>
      </c>
      <c r="J192" s="5">
        <v>8335640103</v>
      </c>
      <c r="K192" s="5" t="s">
        <v>250</v>
      </c>
      <c r="L192" s="5" t="s">
        <v>251</v>
      </c>
      <c r="M192" s="5" t="s">
        <v>22</v>
      </c>
      <c r="N192" s="5" t="s">
        <v>52</v>
      </c>
      <c r="O192" s="5">
        <v>2</v>
      </c>
      <c r="P192" s="5" t="s">
        <v>24</v>
      </c>
      <c r="Q192" s="5" t="s">
        <v>25</v>
      </c>
      <c r="U192" s="5">
        <v>75982101860</v>
      </c>
      <c r="V192" s="11">
        <v>45914</v>
      </c>
      <c r="W192" s="11">
        <v>0.54966435185185181</v>
      </c>
      <c r="X192" s="5">
        <f t="shared" si="20"/>
        <v>9</v>
      </c>
      <c r="Y192" s="5">
        <f t="shared" si="24"/>
        <v>38</v>
      </c>
      <c r="Z192" s="5">
        <f t="shared" si="25"/>
        <v>14</v>
      </c>
      <c r="AA192" s="5">
        <f t="shared" si="26"/>
        <v>1</v>
      </c>
      <c r="AB192" s="5" t="str">
        <f t="shared" si="27"/>
        <v>13 - 14 hr</v>
      </c>
      <c r="AC192" s="5" t="s">
        <v>43</v>
      </c>
      <c r="AD192" s="11">
        <v>45924</v>
      </c>
      <c r="AE192" s="11">
        <v>0.75666666666666671</v>
      </c>
      <c r="AF192" s="5" t="s">
        <v>18</v>
      </c>
      <c r="AG192" s="5" t="s">
        <v>18</v>
      </c>
      <c r="AH192" s="5" t="s">
        <v>36</v>
      </c>
      <c r="AI192" s="5">
        <v>7387652480</v>
      </c>
      <c r="AJ192" s="5" t="s">
        <v>361</v>
      </c>
      <c r="AK192" s="5" t="s">
        <v>41</v>
      </c>
      <c r="AL192" s="5" t="s">
        <v>82</v>
      </c>
      <c r="AM192" s="5" t="s">
        <v>42</v>
      </c>
      <c r="AN192" s="5">
        <v>6</v>
      </c>
      <c r="AO192" s="5" t="s">
        <v>24</v>
      </c>
      <c r="AP192" s="5" t="s">
        <v>25</v>
      </c>
      <c r="AQ192" s="5">
        <f t="shared" si="21"/>
        <v>244.96805555565516</v>
      </c>
      <c r="AR192" s="5">
        <f t="shared" si="22"/>
        <v>10.210000000000001</v>
      </c>
      <c r="AS192" s="5" t="str">
        <f t="shared" si="23"/>
        <v>9-12 days</v>
      </c>
      <c r="AT192" s="5" t="str">
        <f t="shared" ca="1" si="28"/>
        <v>STATUS-COMPLETE</v>
      </c>
      <c r="AU192" s="5" t="str">
        <f t="shared" ca="1" si="29"/>
        <v>STATUS-COMPLETE</v>
      </c>
    </row>
    <row r="193" spans="1:53" x14ac:dyDescent="0.3">
      <c r="A193" s="5">
        <v>75915057244</v>
      </c>
      <c r="B193" s="6">
        <v>45921</v>
      </c>
      <c r="C193" s="11">
        <v>0.7434143518518519</v>
      </c>
      <c r="D193" s="5" t="s">
        <v>78</v>
      </c>
      <c r="E193" s="11">
        <v>45932</v>
      </c>
      <c r="F193" s="11">
        <v>0.74306712962962962</v>
      </c>
      <c r="G193" s="5" t="s">
        <v>18</v>
      </c>
      <c r="H193" s="5" t="s">
        <v>18</v>
      </c>
      <c r="I193" s="5" t="s">
        <v>19</v>
      </c>
      <c r="J193" s="5">
        <v>9429453032</v>
      </c>
      <c r="K193" s="5" t="s">
        <v>357</v>
      </c>
      <c r="L193" s="5" t="s">
        <v>358</v>
      </c>
      <c r="M193" s="5" t="s">
        <v>29</v>
      </c>
      <c r="N193" s="5" t="s">
        <v>23</v>
      </c>
      <c r="O193" s="5">
        <v>9</v>
      </c>
      <c r="P193" s="5" t="s">
        <v>24</v>
      </c>
      <c r="Q193" s="5" t="s">
        <v>25</v>
      </c>
      <c r="U193" s="5">
        <v>75846434187</v>
      </c>
      <c r="V193" s="11">
        <v>45915</v>
      </c>
      <c r="W193" s="11">
        <v>0.38464120370370369</v>
      </c>
      <c r="X193" s="5">
        <f t="shared" si="20"/>
        <v>9</v>
      </c>
      <c r="Y193" s="5">
        <f t="shared" si="24"/>
        <v>38</v>
      </c>
      <c r="Z193" s="5">
        <f t="shared" si="25"/>
        <v>15</v>
      </c>
      <c r="AA193" s="5">
        <f t="shared" si="26"/>
        <v>2</v>
      </c>
      <c r="AB193" s="5" t="str">
        <f t="shared" si="27"/>
        <v>9 - 10 hr</v>
      </c>
      <c r="AC193" s="5" t="s">
        <v>55</v>
      </c>
      <c r="AD193" s="11">
        <v>45922</v>
      </c>
      <c r="AE193" s="11">
        <v>0.63997685185185182</v>
      </c>
      <c r="AF193" s="5" t="s">
        <v>18</v>
      </c>
      <c r="AG193" s="5" t="s">
        <v>18</v>
      </c>
      <c r="AH193" s="5" t="s">
        <v>36</v>
      </c>
      <c r="AI193" s="5">
        <v>8672790155</v>
      </c>
      <c r="AJ193" s="5" t="s">
        <v>56</v>
      </c>
      <c r="AK193" s="5" t="s">
        <v>57</v>
      </c>
      <c r="AL193" s="5" t="s">
        <v>29</v>
      </c>
      <c r="AM193" s="5" t="s">
        <v>39</v>
      </c>
      <c r="AN193" s="5">
        <v>6</v>
      </c>
      <c r="AO193" s="5" t="s">
        <v>24</v>
      </c>
      <c r="AP193" s="5" t="s">
        <v>25</v>
      </c>
      <c r="AQ193" s="5">
        <f t="shared" si="21"/>
        <v>174.12805555562954</v>
      </c>
      <c r="AR193" s="5">
        <f t="shared" si="22"/>
        <v>7.26</v>
      </c>
      <c r="AS193" s="5" t="str">
        <f t="shared" si="23"/>
        <v>5-8 days</v>
      </c>
      <c r="AT193" s="5" t="str">
        <f t="shared" ca="1" si="28"/>
        <v>STATUS-COMPLETE</v>
      </c>
      <c r="AU193" s="5" t="str">
        <f t="shared" ca="1" si="29"/>
        <v>STATUS-COMPLETE</v>
      </c>
    </row>
    <row r="194" spans="1:53" x14ac:dyDescent="0.3">
      <c r="A194" s="5">
        <v>75918079974</v>
      </c>
      <c r="B194" s="6">
        <v>45879</v>
      </c>
      <c r="C194" s="11">
        <v>0.6774189814814815</v>
      </c>
      <c r="D194" s="5" t="s">
        <v>46</v>
      </c>
      <c r="E194" s="11">
        <v>45891</v>
      </c>
      <c r="F194" s="11">
        <v>0.56440972222222219</v>
      </c>
      <c r="G194" s="5" t="s">
        <v>18</v>
      </c>
      <c r="H194" s="5" t="s">
        <v>18</v>
      </c>
      <c r="I194" s="5" t="s">
        <v>36</v>
      </c>
      <c r="J194" s="5">
        <v>7621232513</v>
      </c>
      <c r="K194" s="5" t="s">
        <v>110</v>
      </c>
      <c r="L194" s="5" t="s">
        <v>111</v>
      </c>
      <c r="M194" s="5" t="s">
        <v>33</v>
      </c>
      <c r="N194" s="5" t="s">
        <v>94</v>
      </c>
      <c r="O194" s="5">
        <v>4</v>
      </c>
      <c r="P194" s="5" t="s">
        <v>24</v>
      </c>
      <c r="Q194" s="5" t="s">
        <v>25</v>
      </c>
      <c r="U194" s="5">
        <v>75847286055</v>
      </c>
      <c r="V194" s="11">
        <v>45915</v>
      </c>
      <c r="W194" s="11">
        <v>0.48798611111111112</v>
      </c>
      <c r="X194" s="5">
        <f t="shared" ref="X194:X226" si="30">MONTH(V194)</f>
        <v>9</v>
      </c>
      <c r="Y194" s="5">
        <f t="shared" si="24"/>
        <v>38</v>
      </c>
      <c r="Z194" s="5">
        <f t="shared" si="25"/>
        <v>15</v>
      </c>
      <c r="AA194" s="5">
        <f t="shared" si="26"/>
        <v>2</v>
      </c>
      <c r="AB194" s="5" t="str">
        <f t="shared" si="27"/>
        <v>11 - 12 hr</v>
      </c>
      <c r="AC194" s="5" t="s">
        <v>17</v>
      </c>
      <c r="AD194" s="11">
        <v>45922</v>
      </c>
      <c r="AE194" s="11">
        <v>0.40233796296296298</v>
      </c>
      <c r="AF194" s="5" t="s">
        <v>18</v>
      </c>
      <c r="AG194" s="5" t="s">
        <v>18</v>
      </c>
      <c r="AH194" s="5" t="s">
        <v>49</v>
      </c>
      <c r="AI194" s="5">
        <v>9248349034</v>
      </c>
      <c r="AJ194" s="5" t="s">
        <v>190</v>
      </c>
      <c r="AK194" s="5" t="s">
        <v>191</v>
      </c>
      <c r="AL194" s="5" t="s">
        <v>82</v>
      </c>
      <c r="AM194" s="5" t="s">
        <v>86</v>
      </c>
      <c r="AN194" s="5">
        <v>7</v>
      </c>
      <c r="AO194" s="5" t="s">
        <v>24</v>
      </c>
      <c r="AP194" s="5" t="s">
        <v>25</v>
      </c>
      <c r="AQ194" s="5">
        <f t="shared" ref="AQ194:AQ226" si="31">IF(AO194="Pending","Issue_pending",
    IF(AO194="Complete",
        IF(OR(V194="",W194="",AD194="",AE194=""),"Issue_solved_date_absent",
           ((AD194+AE194)-(V194+W194))*24
        ),
    ""))</f>
        <v>165.94444444449618</v>
      </c>
      <c r="AR194" s="5">
        <f t="shared" ref="AR194:AR257" si="32">IF(AQ194="Issue_pending","Issue_pending",IF(AQ194="Issue_solved_date_absent","Issue_solved_date_absent",ROUND(AQ194/24,2)))</f>
        <v>6.91</v>
      </c>
      <c r="AS194" s="5" t="str">
        <f t="shared" ref="AS194:AS257" si="33">IF(AR194="Issue_pending","Issue_pending",
    IF(AR194="Issue_solved_date_absent","Issue_solved_date_absent",
        IF(AR194&lt;=4,"1-4 days",
        IF(AR194&lt;=8,"5-8 days",
        "9-12 days"))))</f>
        <v>5-8 days</v>
      </c>
      <c r="AT194" s="5" t="str">
        <f t="shared" ca="1" si="28"/>
        <v>STATUS-COMPLETE</v>
      </c>
      <c r="AU194" s="5" t="str">
        <f t="shared" ca="1" si="29"/>
        <v>STATUS-COMPLETE</v>
      </c>
    </row>
    <row r="195" spans="1:53" x14ac:dyDescent="0.3">
      <c r="A195" s="5">
        <v>75918558050</v>
      </c>
      <c r="B195" s="6">
        <v>45910</v>
      </c>
      <c r="C195" s="11">
        <v>0.53600694444444441</v>
      </c>
      <c r="D195" s="5" t="s">
        <v>55</v>
      </c>
      <c r="E195" s="11">
        <v>45921</v>
      </c>
      <c r="F195" s="11">
        <v>0.72130787037037036</v>
      </c>
      <c r="G195" s="5" t="s">
        <v>18</v>
      </c>
      <c r="H195" s="5" t="s">
        <v>18</v>
      </c>
      <c r="I195" s="5" t="s">
        <v>27</v>
      </c>
      <c r="J195" s="5">
        <v>8277468755</v>
      </c>
      <c r="K195" s="5" t="s">
        <v>219</v>
      </c>
      <c r="L195" s="5" t="s">
        <v>220</v>
      </c>
      <c r="M195" s="5" t="s">
        <v>33</v>
      </c>
      <c r="N195" s="5" t="s">
        <v>203</v>
      </c>
      <c r="O195" s="5">
        <v>6</v>
      </c>
      <c r="P195" s="5" t="s">
        <v>24</v>
      </c>
      <c r="Q195" s="5" t="s">
        <v>25</v>
      </c>
      <c r="U195" s="5">
        <v>75778557676</v>
      </c>
      <c r="V195" s="11">
        <v>45915</v>
      </c>
      <c r="W195" s="11">
        <v>0.76894675925925926</v>
      </c>
      <c r="X195" s="5">
        <f t="shared" si="30"/>
        <v>9</v>
      </c>
      <c r="Y195" s="5">
        <f t="shared" ref="Y195:Y226" si="34">WEEKNUM(V195)</f>
        <v>38</v>
      </c>
      <c r="Z195" s="5">
        <f t="shared" ref="Z195:Z226" si="35">DAY(V195)</f>
        <v>15</v>
      </c>
      <c r="AA195" s="5">
        <f t="shared" ref="AA195:AA226" si="36">WEEKDAY(V195)</f>
        <v>2</v>
      </c>
      <c r="AB195" s="5" t="str">
        <f t="shared" ref="AB195:AB226" si="37">INT(W195*24)&amp;" - "&amp;INT(W195*24)+1&amp;" hr"</f>
        <v>18 - 19 hr</v>
      </c>
      <c r="AC195" s="5" t="s">
        <v>43</v>
      </c>
      <c r="AD195" s="11">
        <v>45927</v>
      </c>
      <c r="AE195" s="11">
        <v>0.68226851851851855</v>
      </c>
      <c r="AF195" s="5" t="s">
        <v>18</v>
      </c>
      <c r="AG195" s="5" t="s">
        <v>18</v>
      </c>
      <c r="AH195" s="5" t="s">
        <v>27</v>
      </c>
      <c r="AI195" s="5">
        <v>7322299355</v>
      </c>
      <c r="AJ195" s="5" t="s">
        <v>201</v>
      </c>
      <c r="AK195" s="5" t="s">
        <v>202</v>
      </c>
      <c r="AL195" s="5" t="s">
        <v>22</v>
      </c>
      <c r="AM195" s="5" t="s">
        <v>203</v>
      </c>
      <c r="AN195" s="5">
        <v>6</v>
      </c>
      <c r="AO195" s="5" t="s">
        <v>24</v>
      </c>
      <c r="AP195" s="5" t="s">
        <v>25</v>
      </c>
      <c r="AQ195" s="5">
        <f t="shared" si="31"/>
        <v>285.91972222225741</v>
      </c>
      <c r="AR195" s="5">
        <f t="shared" si="32"/>
        <v>11.91</v>
      </c>
      <c r="AS195" s="5" t="str">
        <f t="shared" si="33"/>
        <v>9-12 days</v>
      </c>
      <c r="AT195" s="5" t="str">
        <f t="shared" ref="AT195:AT226" ca="1" si="38">IF(AO195="Pending",TODAY()-V195,"STATUS-COMPLETE")</f>
        <v>STATUS-COMPLETE</v>
      </c>
      <c r="AU195" s="5" t="str">
        <f t="shared" ref="AU195:AU226" ca="1" si="39">IF(ISNUMBER(AT195),
     IF(AT195&lt;=7,"0-7 days",IF(AT195&lt;=20,"8-20 days","&gt;20 days")),
     AT195)</f>
        <v>STATUS-COMPLETE</v>
      </c>
      <c r="AZ195" s="2" t="s">
        <v>391</v>
      </c>
      <c r="BA195" t="s">
        <v>503</v>
      </c>
    </row>
    <row r="196" spans="1:53" x14ac:dyDescent="0.3">
      <c r="A196" s="5">
        <v>75919884429</v>
      </c>
      <c r="B196" s="6">
        <v>45913</v>
      </c>
      <c r="C196" s="11">
        <v>0.51061342592592596</v>
      </c>
      <c r="D196" s="5" t="s">
        <v>46</v>
      </c>
      <c r="E196" s="11"/>
      <c r="F196" s="11"/>
      <c r="G196" s="5" t="s">
        <v>18</v>
      </c>
      <c r="H196" s="5" t="s">
        <v>18</v>
      </c>
      <c r="I196" s="5" t="s">
        <v>36</v>
      </c>
      <c r="J196" s="5">
        <v>8282044148</v>
      </c>
      <c r="K196" s="5" t="s">
        <v>236</v>
      </c>
      <c r="L196" s="5" t="s">
        <v>237</v>
      </c>
      <c r="M196" s="5" t="s">
        <v>33</v>
      </c>
      <c r="N196" s="5" t="s">
        <v>39</v>
      </c>
      <c r="O196" s="5">
        <v>9</v>
      </c>
      <c r="P196" s="5" t="s">
        <v>34</v>
      </c>
      <c r="Q196" s="5" t="s">
        <v>35</v>
      </c>
      <c r="U196" s="5">
        <v>75990554938</v>
      </c>
      <c r="V196" s="11">
        <v>45915</v>
      </c>
      <c r="W196" s="11">
        <v>0.72149305555555554</v>
      </c>
      <c r="X196" s="5">
        <f t="shared" si="30"/>
        <v>9</v>
      </c>
      <c r="Y196" s="5">
        <f t="shared" si="34"/>
        <v>38</v>
      </c>
      <c r="Z196" s="5">
        <f t="shared" si="35"/>
        <v>15</v>
      </c>
      <c r="AA196" s="5">
        <f t="shared" si="36"/>
        <v>2</v>
      </c>
      <c r="AB196" s="5" t="str">
        <f t="shared" si="37"/>
        <v>17 - 18 hr</v>
      </c>
      <c r="AC196" s="5" t="s">
        <v>30</v>
      </c>
      <c r="AD196" s="11">
        <v>45917</v>
      </c>
      <c r="AE196" s="11">
        <v>0.61275462962962968</v>
      </c>
      <c r="AF196" s="5" t="s">
        <v>18</v>
      </c>
      <c r="AG196" s="5" t="s">
        <v>18</v>
      </c>
      <c r="AH196" s="5" t="s">
        <v>27</v>
      </c>
      <c r="AI196" s="5">
        <v>7676479877</v>
      </c>
      <c r="AJ196" s="5" t="s">
        <v>209</v>
      </c>
      <c r="AK196" s="5" t="s">
        <v>210</v>
      </c>
      <c r="AL196" s="5" t="s">
        <v>22</v>
      </c>
      <c r="AM196" s="5" t="s">
        <v>142</v>
      </c>
      <c r="AN196" s="5">
        <v>7</v>
      </c>
      <c r="AO196" s="5" t="s">
        <v>24</v>
      </c>
      <c r="AP196" s="5" t="s">
        <v>25</v>
      </c>
      <c r="AQ196" s="5">
        <f t="shared" si="31"/>
        <v>45.390277777682059</v>
      </c>
      <c r="AR196" s="5">
        <f t="shared" si="32"/>
        <v>1.89</v>
      </c>
      <c r="AS196" s="5" t="str">
        <f t="shared" si="33"/>
        <v>1-4 days</v>
      </c>
      <c r="AT196" s="5" t="str">
        <f t="shared" ca="1" si="38"/>
        <v>STATUS-COMPLETE</v>
      </c>
      <c r="AU196" s="5" t="str">
        <f t="shared" ca="1" si="39"/>
        <v>STATUS-COMPLETE</v>
      </c>
      <c r="AZ196" s="3" t="s">
        <v>43</v>
      </c>
      <c r="BA196" s="12">
        <v>9.3318181818181802</v>
      </c>
    </row>
    <row r="197" spans="1:53" x14ac:dyDescent="0.3">
      <c r="A197" s="5">
        <v>75927215082</v>
      </c>
      <c r="B197" s="6">
        <v>45914</v>
      </c>
      <c r="C197" s="11">
        <v>0.78489583333333335</v>
      </c>
      <c r="D197" s="5" t="s">
        <v>78</v>
      </c>
      <c r="E197" s="11">
        <v>45920</v>
      </c>
      <c r="F197" s="11">
        <v>0.47592592592592592</v>
      </c>
      <c r="G197" s="5" t="s">
        <v>18</v>
      </c>
      <c r="H197" s="5" t="s">
        <v>18</v>
      </c>
      <c r="I197" s="5" t="s">
        <v>49</v>
      </c>
      <c r="J197" s="5">
        <v>8615145225</v>
      </c>
      <c r="K197" s="5" t="s">
        <v>293</v>
      </c>
      <c r="L197" s="5" t="s">
        <v>218</v>
      </c>
      <c r="M197" s="5" t="s">
        <v>33</v>
      </c>
      <c r="N197" s="5" t="s">
        <v>66</v>
      </c>
      <c r="O197" s="5">
        <v>4</v>
      </c>
      <c r="P197" s="5" t="s">
        <v>24</v>
      </c>
      <c r="Q197" s="5" t="s">
        <v>67</v>
      </c>
      <c r="U197" s="5">
        <v>75639699130</v>
      </c>
      <c r="V197" s="11">
        <v>45915</v>
      </c>
      <c r="W197" s="11">
        <v>0.817962962962963</v>
      </c>
      <c r="X197" s="5">
        <f t="shared" si="30"/>
        <v>9</v>
      </c>
      <c r="Y197" s="5">
        <f t="shared" si="34"/>
        <v>38</v>
      </c>
      <c r="Z197" s="5">
        <f t="shared" si="35"/>
        <v>15</v>
      </c>
      <c r="AA197" s="5">
        <f t="shared" si="36"/>
        <v>2</v>
      </c>
      <c r="AB197" s="5" t="str">
        <f t="shared" si="37"/>
        <v>19 - 20 hr</v>
      </c>
      <c r="AC197" s="5" t="s">
        <v>95</v>
      </c>
      <c r="AD197" s="11"/>
      <c r="AE197" s="11"/>
      <c r="AF197" s="5" t="s">
        <v>18</v>
      </c>
      <c r="AG197" s="5" t="s">
        <v>18</v>
      </c>
      <c r="AH197" s="5" t="s">
        <v>27</v>
      </c>
      <c r="AI197" s="5">
        <v>8625147377</v>
      </c>
      <c r="AJ197" s="5" t="s">
        <v>365</v>
      </c>
      <c r="AK197" s="5" t="s">
        <v>366</v>
      </c>
      <c r="AL197" s="5" t="s">
        <v>33</v>
      </c>
      <c r="AM197" s="5" t="s">
        <v>76</v>
      </c>
      <c r="AN197" s="5">
        <v>2</v>
      </c>
      <c r="AO197" s="5" t="s">
        <v>34</v>
      </c>
      <c r="AP197" s="5" t="s">
        <v>35</v>
      </c>
      <c r="AQ197" s="5" t="str">
        <f t="shared" si="31"/>
        <v>Issue_pending</v>
      </c>
      <c r="AR197" s="5" t="str">
        <f t="shared" si="32"/>
        <v>Issue_pending</v>
      </c>
      <c r="AS197" s="5" t="str">
        <f t="shared" si="33"/>
        <v>Issue_pending</v>
      </c>
      <c r="AT197" s="5">
        <f t="shared" ca="1" si="38"/>
        <v>15</v>
      </c>
      <c r="AU197" s="5" t="str">
        <f t="shared" ca="1" si="39"/>
        <v>8-20 days</v>
      </c>
      <c r="AZ197" s="3" t="s">
        <v>58</v>
      </c>
      <c r="BA197" s="12">
        <v>8.8490909090909078</v>
      </c>
    </row>
    <row r="198" spans="1:53" x14ac:dyDescent="0.3">
      <c r="A198" s="5">
        <v>75927986559</v>
      </c>
      <c r="B198" s="6">
        <v>45900</v>
      </c>
      <c r="C198" s="11">
        <v>0.43775462962962963</v>
      </c>
      <c r="D198" s="5" t="s">
        <v>55</v>
      </c>
      <c r="E198" s="11">
        <v>45908</v>
      </c>
      <c r="F198" s="11">
        <v>0.54973379629629626</v>
      </c>
      <c r="G198" s="5" t="s">
        <v>18</v>
      </c>
      <c r="H198" s="5" t="s">
        <v>18</v>
      </c>
      <c r="I198" s="5" t="s">
        <v>49</v>
      </c>
      <c r="J198" s="5">
        <v>8431548670</v>
      </c>
      <c r="K198" s="5" t="s">
        <v>103</v>
      </c>
      <c r="L198" s="5" t="s">
        <v>104</v>
      </c>
      <c r="M198" s="5" t="s">
        <v>29</v>
      </c>
      <c r="N198" s="5" t="s">
        <v>72</v>
      </c>
      <c r="O198" s="5">
        <v>8</v>
      </c>
      <c r="P198" s="5" t="s">
        <v>24</v>
      </c>
      <c r="Q198" s="5" t="s">
        <v>25</v>
      </c>
      <c r="U198" s="5">
        <v>75899154414</v>
      </c>
      <c r="V198" s="11">
        <v>45916</v>
      </c>
      <c r="W198" s="11">
        <v>0.66164351851851855</v>
      </c>
      <c r="X198" s="5">
        <f t="shared" si="30"/>
        <v>9</v>
      </c>
      <c r="Y198" s="5">
        <f t="shared" si="34"/>
        <v>38</v>
      </c>
      <c r="Z198" s="5">
        <f t="shared" si="35"/>
        <v>16</v>
      </c>
      <c r="AA198" s="5">
        <f t="shared" si="36"/>
        <v>3</v>
      </c>
      <c r="AB198" s="5" t="str">
        <f t="shared" si="37"/>
        <v>15 - 16 hr</v>
      </c>
      <c r="AC198" s="5" t="s">
        <v>58</v>
      </c>
      <c r="AD198" s="11">
        <v>45927</v>
      </c>
      <c r="AE198" s="11">
        <v>0.56934027777777774</v>
      </c>
      <c r="AF198" s="5" t="s">
        <v>18</v>
      </c>
      <c r="AG198" s="5" t="s">
        <v>18</v>
      </c>
      <c r="AH198" s="5" t="s">
        <v>49</v>
      </c>
      <c r="AI198" s="5">
        <v>8152750071</v>
      </c>
      <c r="AJ198" s="5" t="s">
        <v>77</v>
      </c>
      <c r="AK198" s="5" t="s">
        <v>51</v>
      </c>
      <c r="AL198" s="5" t="s">
        <v>29</v>
      </c>
      <c r="AM198" s="5" t="s">
        <v>52</v>
      </c>
      <c r="AN198" s="5">
        <v>2</v>
      </c>
      <c r="AO198" s="5" t="s">
        <v>24</v>
      </c>
      <c r="AP198" s="5" t="s">
        <v>25</v>
      </c>
      <c r="AQ198" s="5">
        <f t="shared" si="31"/>
        <v>261.78472222213168</v>
      </c>
      <c r="AR198" s="5">
        <f t="shared" si="32"/>
        <v>10.91</v>
      </c>
      <c r="AS198" s="5" t="str">
        <f t="shared" si="33"/>
        <v>9-12 days</v>
      </c>
      <c r="AT198" s="5" t="str">
        <f t="shared" ca="1" si="38"/>
        <v>STATUS-COMPLETE</v>
      </c>
      <c r="AU198" s="5" t="str">
        <f t="shared" ca="1" si="39"/>
        <v>STATUS-COMPLETE</v>
      </c>
      <c r="AZ198" s="3" t="s">
        <v>17</v>
      </c>
      <c r="BA198" s="12">
        <v>7.7472222222222218</v>
      </c>
    </row>
    <row r="199" spans="1:53" x14ac:dyDescent="0.3">
      <c r="A199" s="5">
        <v>75929442753</v>
      </c>
      <c r="B199" s="6">
        <v>45873</v>
      </c>
      <c r="C199" s="11">
        <v>0.64067129629629627</v>
      </c>
      <c r="D199" s="5" t="s">
        <v>55</v>
      </c>
      <c r="E199" s="11">
        <v>45885</v>
      </c>
      <c r="F199" s="11">
        <v>0.6325925925925926</v>
      </c>
      <c r="G199" s="5" t="s">
        <v>18</v>
      </c>
      <c r="H199" s="5" t="s">
        <v>18</v>
      </c>
      <c r="I199" s="5" t="s">
        <v>27</v>
      </c>
      <c r="J199" s="5">
        <v>7435632331</v>
      </c>
      <c r="K199" s="5" t="s">
        <v>370</v>
      </c>
      <c r="L199" s="5" t="s">
        <v>340</v>
      </c>
      <c r="M199" s="5" t="s">
        <v>29</v>
      </c>
      <c r="N199" s="5" t="s">
        <v>76</v>
      </c>
      <c r="O199" s="5">
        <v>7</v>
      </c>
      <c r="P199" s="5" t="s">
        <v>24</v>
      </c>
      <c r="Q199" s="5" t="s">
        <v>25</v>
      </c>
      <c r="U199" s="5">
        <v>75430465806</v>
      </c>
      <c r="V199" s="11">
        <v>45916</v>
      </c>
      <c r="W199" s="11">
        <v>0.41853009259259261</v>
      </c>
      <c r="X199" s="5">
        <f t="shared" si="30"/>
        <v>9</v>
      </c>
      <c r="Y199" s="5">
        <f t="shared" si="34"/>
        <v>38</v>
      </c>
      <c r="Z199" s="5">
        <f t="shared" si="35"/>
        <v>16</v>
      </c>
      <c r="AA199" s="5">
        <f t="shared" si="36"/>
        <v>3</v>
      </c>
      <c r="AB199" s="5" t="str">
        <f t="shared" si="37"/>
        <v>10 - 11 hr</v>
      </c>
      <c r="AC199" s="5" t="s">
        <v>58</v>
      </c>
      <c r="AD199" s="11"/>
      <c r="AE199" s="11"/>
      <c r="AF199" s="5" t="s">
        <v>18</v>
      </c>
      <c r="AG199" s="5" t="s">
        <v>18</v>
      </c>
      <c r="AH199" s="5" t="s">
        <v>49</v>
      </c>
      <c r="AI199" s="5">
        <v>8136688451</v>
      </c>
      <c r="AJ199" s="5" t="s">
        <v>217</v>
      </c>
      <c r="AK199" s="5" t="s">
        <v>218</v>
      </c>
      <c r="AL199" s="5" t="s">
        <v>22</v>
      </c>
      <c r="AM199" s="5" t="s">
        <v>102</v>
      </c>
      <c r="AN199" s="5">
        <v>9</v>
      </c>
      <c r="AO199" s="5" t="s">
        <v>34</v>
      </c>
      <c r="AP199" s="5" t="s">
        <v>60</v>
      </c>
      <c r="AQ199" s="5" t="str">
        <f t="shared" si="31"/>
        <v>Issue_pending</v>
      </c>
      <c r="AR199" s="5" t="str">
        <f t="shared" si="32"/>
        <v>Issue_pending</v>
      </c>
      <c r="AS199" s="5" t="str">
        <f t="shared" si="33"/>
        <v>Issue_pending</v>
      </c>
      <c r="AT199" s="5">
        <f t="shared" ca="1" si="38"/>
        <v>14</v>
      </c>
      <c r="AU199" s="5" t="str">
        <f t="shared" ca="1" si="39"/>
        <v>8-20 days</v>
      </c>
      <c r="AZ199" s="3" t="s">
        <v>48</v>
      </c>
      <c r="BA199" s="12">
        <v>6.7607692307692311</v>
      </c>
    </row>
    <row r="200" spans="1:53" x14ac:dyDescent="0.3">
      <c r="A200" s="5">
        <v>75930833445</v>
      </c>
      <c r="B200" s="6">
        <v>45899</v>
      </c>
      <c r="C200" s="11">
        <v>0.63552083333333331</v>
      </c>
      <c r="D200" s="5" t="s">
        <v>43</v>
      </c>
      <c r="E200" s="11">
        <v>45910</v>
      </c>
      <c r="F200" s="11">
        <v>0.75885416666666672</v>
      </c>
      <c r="G200" s="5" t="s">
        <v>18</v>
      </c>
      <c r="H200" s="5" t="s">
        <v>18</v>
      </c>
      <c r="I200" s="5" t="s">
        <v>36</v>
      </c>
      <c r="J200" s="5">
        <v>7457788949</v>
      </c>
      <c r="K200" s="5" t="s">
        <v>44</v>
      </c>
      <c r="L200" s="5" t="s">
        <v>45</v>
      </c>
      <c r="M200" s="5" t="s">
        <v>29</v>
      </c>
      <c r="N200" s="5" t="s">
        <v>39</v>
      </c>
      <c r="O200" s="5">
        <v>2</v>
      </c>
      <c r="P200" s="5" t="s">
        <v>24</v>
      </c>
      <c r="Q200" s="5" t="s">
        <v>25</v>
      </c>
      <c r="U200" s="5">
        <v>75860983746</v>
      </c>
      <c r="V200" s="11">
        <v>45916</v>
      </c>
      <c r="W200" s="11">
        <v>0.56462962962962959</v>
      </c>
      <c r="X200" s="5">
        <f t="shared" si="30"/>
        <v>9</v>
      </c>
      <c r="Y200" s="5">
        <f t="shared" si="34"/>
        <v>38</v>
      </c>
      <c r="Z200" s="5">
        <f t="shared" si="35"/>
        <v>16</v>
      </c>
      <c r="AA200" s="5">
        <f t="shared" si="36"/>
        <v>3</v>
      </c>
      <c r="AB200" s="5" t="str">
        <f t="shared" si="37"/>
        <v>13 - 14 hr</v>
      </c>
      <c r="AC200" s="5" t="s">
        <v>30</v>
      </c>
      <c r="AD200" s="11"/>
      <c r="AE200" s="11"/>
      <c r="AF200" s="5" t="s">
        <v>18</v>
      </c>
      <c r="AG200" s="5" t="s">
        <v>18</v>
      </c>
      <c r="AH200" s="5" t="s">
        <v>36</v>
      </c>
      <c r="AI200" s="5">
        <v>9476700066</v>
      </c>
      <c r="AJ200" s="5" t="s">
        <v>337</v>
      </c>
      <c r="AK200" s="5" t="s">
        <v>132</v>
      </c>
      <c r="AL200" s="5" t="s">
        <v>33</v>
      </c>
      <c r="AM200" s="5" t="s">
        <v>39</v>
      </c>
      <c r="AN200" s="5">
        <v>2</v>
      </c>
      <c r="AO200" s="5" t="s">
        <v>34</v>
      </c>
      <c r="AP200" s="5" t="s">
        <v>67</v>
      </c>
      <c r="AQ200" s="5" t="str">
        <f t="shared" si="31"/>
        <v>Issue_pending</v>
      </c>
      <c r="AR200" s="5" t="str">
        <f t="shared" si="32"/>
        <v>Issue_pending</v>
      </c>
      <c r="AS200" s="5" t="str">
        <f t="shared" si="33"/>
        <v>Issue_pending</v>
      </c>
      <c r="AT200" s="5">
        <f t="shared" ca="1" si="38"/>
        <v>14</v>
      </c>
      <c r="AU200" s="5" t="str">
        <f t="shared" ca="1" si="39"/>
        <v>8-20 days</v>
      </c>
      <c r="AZ200" s="3" t="s">
        <v>30</v>
      </c>
      <c r="BA200" s="12">
        <v>6.7217647058823538</v>
      </c>
    </row>
    <row r="201" spans="1:53" x14ac:dyDescent="0.3">
      <c r="A201" s="5">
        <v>75931855083</v>
      </c>
      <c r="B201" s="6">
        <v>45900</v>
      </c>
      <c r="C201" s="11">
        <v>0.38092592592592595</v>
      </c>
      <c r="D201" s="5" t="s">
        <v>58</v>
      </c>
      <c r="E201" s="11">
        <v>45907</v>
      </c>
      <c r="F201" s="11">
        <v>0.65474537037037039</v>
      </c>
      <c r="G201" s="5" t="s">
        <v>18</v>
      </c>
      <c r="H201" s="5" t="s">
        <v>18</v>
      </c>
      <c r="I201" s="5" t="s">
        <v>27</v>
      </c>
      <c r="J201" s="5">
        <v>8425906387</v>
      </c>
      <c r="K201" s="5" t="s">
        <v>117</v>
      </c>
      <c r="L201" s="5" t="s">
        <v>115</v>
      </c>
      <c r="M201" s="5" t="s">
        <v>82</v>
      </c>
      <c r="N201" s="5" t="s">
        <v>116</v>
      </c>
      <c r="O201" s="5">
        <v>7</v>
      </c>
      <c r="P201" s="5" t="s">
        <v>24</v>
      </c>
      <c r="Q201" s="5" t="s">
        <v>25</v>
      </c>
      <c r="U201" s="5">
        <v>75531244840</v>
      </c>
      <c r="V201" s="11">
        <v>45917</v>
      </c>
      <c r="W201" s="11">
        <v>0.64091435185185186</v>
      </c>
      <c r="X201" s="5">
        <f t="shared" si="30"/>
        <v>9</v>
      </c>
      <c r="Y201" s="5">
        <f t="shared" si="34"/>
        <v>38</v>
      </c>
      <c r="Z201" s="5">
        <f t="shared" si="35"/>
        <v>17</v>
      </c>
      <c r="AA201" s="5">
        <f t="shared" si="36"/>
        <v>4</v>
      </c>
      <c r="AB201" s="5" t="str">
        <f t="shared" si="37"/>
        <v>15 - 16 hr</v>
      </c>
      <c r="AC201" s="5" t="s">
        <v>55</v>
      </c>
      <c r="AD201" s="11">
        <v>45920</v>
      </c>
      <c r="AE201" s="11">
        <v>0.71084490740740736</v>
      </c>
      <c r="AF201" s="5" t="s">
        <v>18</v>
      </c>
      <c r="AG201" s="5" t="s">
        <v>18</v>
      </c>
      <c r="AH201" s="5" t="s">
        <v>27</v>
      </c>
      <c r="AI201" s="5">
        <v>7220959215</v>
      </c>
      <c r="AJ201" s="5" t="s">
        <v>153</v>
      </c>
      <c r="AK201" s="5" t="s">
        <v>119</v>
      </c>
      <c r="AL201" s="5" t="s">
        <v>33</v>
      </c>
      <c r="AM201" s="5" t="s">
        <v>116</v>
      </c>
      <c r="AN201" s="5">
        <v>6</v>
      </c>
      <c r="AO201" s="5" t="s">
        <v>24</v>
      </c>
      <c r="AP201" s="5" t="s">
        <v>25</v>
      </c>
      <c r="AQ201" s="5">
        <f t="shared" si="31"/>
        <v>73.678333333285991</v>
      </c>
      <c r="AR201" s="5">
        <f t="shared" si="32"/>
        <v>3.07</v>
      </c>
      <c r="AS201" s="5" t="str">
        <f t="shared" si="33"/>
        <v>1-4 days</v>
      </c>
      <c r="AT201" s="5" t="str">
        <f t="shared" ca="1" si="38"/>
        <v>STATUS-COMPLETE</v>
      </c>
      <c r="AU201" s="5" t="str">
        <f t="shared" ca="1" si="39"/>
        <v>STATUS-COMPLETE</v>
      </c>
      <c r="AZ201" s="3" t="s">
        <v>55</v>
      </c>
      <c r="BA201" s="12">
        <v>6.5541935483870954</v>
      </c>
    </row>
    <row r="202" spans="1:53" x14ac:dyDescent="0.3">
      <c r="A202" s="5">
        <v>75934047267</v>
      </c>
      <c r="B202" s="6">
        <v>45890</v>
      </c>
      <c r="C202" s="11">
        <v>0.37876157407407407</v>
      </c>
      <c r="D202" s="5" t="s">
        <v>46</v>
      </c>
      <c r="E202" s="11">
        <v>45893</v>
      </c>
      <c r="F202" s="11">
        <v>0.68922453703703701</v>
      </c>
      <c r="G202" s="5" t="s">
        <v>18</v>
      </c>
      <c r="H202" s="5" t="s">
        <v>18</v>
      </c>
      <c r="I202" s="5" t="s">
        <v>19</v>
      </c>
      <c r="J202" s="5">
        <v>8963790638</v>
      </c>
      <c r="K202" s="5" t="s">
        <v>223</v>
      </c>
      <c r="L202" s="5" t="s">
        <v>224</v>
      </c>
      <c r="M202" s="5" t="s">
        <v>29</v>
      </c>
      <c r="N202" s="5" t="s">
        <v>94</v>
      </c>
      <c r="O202" s="5">
        <v>2</v>
      </c>
      <c r="P202" s="5" t="s">
        <v>24</v>
      </c>
      <c r="Q202" s="5" t="s">
        <v>25</v>
      </c>
      <c r="U202" s="5">
        <v>75945985356</v>
      </c>
      <c r="V202" s="11">
        <v>45917</v>
      </c>
      <c r="W202" s="11">
        <v>0.58429398148148148</v>
      </c>
      <c r="X202" s="5">
        <f t="shared" si="30"/>
        <v>9</v>
      </c>
      <c r="Y202" s="5">
        <f t="shared" si="34"/>
        <v>38</v>
      </c>
      <c r="Z202" s="5">
        <f t="shared" si="35"/>
        <v>17</v>
      </c>
      <c r="AA202" s="5">
        <f t="shared" si="36"/>
        <v>4</v>
      </c>
      <c r="AB202" s="5" t="str">
        <f t="shared" si="37"/>
        <v>14 - 15 hr</v>
      </c>
      <c r="AC202" s="5" t="s">
        <v>30</v>
      </c>
      <c r="AD202" s="11"/>
      <c r="AE202" s="11"/>
      <c r="AF202" s="5" t="s">
        <v>18</v>
      </c>
      <c r="AG202" s="5" t="s">
        <v>18</v>
      </c>
      <c r="AH202" s="5" t="s">
        <v>36</v>
      </c>
      <c r="AI202" s="5">
        <v>7774223342</v>
      </c>
      <c r="AJ202" s="5" t="s">
        <v>178</v>
      </c>
      <c r="AK202" s="5" t="s">
        <v>21</v>
      </c>
      <c r="AL202" s="5" t="s">
        <v>22</v>
      </c>
      <c r="AM202" s="5" t="s">
        <v>23</v>
      </c>
      <c r="AN202" s="5">
        <v>6</v>
      </c>
      <c r="AO202" s="5" t="s">
        <v>34</v>
      </c>
      <c r="AP202" s="5" t="s">
        <v>35</v>
      </c>
      <c r="AQ202" s="5" t="str">
        <f t="shared" si="31"/>
        <v>Issue_pending</v>
      </c>
      <c r="AR202" s="5" t="str">
        <f t="shared" si="32"/>
        <v>Issue_pending</v>
      </c>
      <c r="AS202" s="5" t="str">
        <f t="shared" si="33"/>
        <v>Issue_pending</v>
      </c>
      <c r="AT202" s="5">
        <f t="shared" ca="1" si="38"/>
        <v>13</v>
      </c>
      <c r="AU202" s="5" t="str">
        <f t="shared" ca="1" si="39"/>
        <v>8-20 days</v>
      </c>
      <c r="AZ202" s="3" t="s">
        <v>46</v>
      </c>
      <c r="BA202" s="12">
        <v>6.0371428571428565</v>
      </c>
    </row>
    <row r="203" spans="1:53" x14ac:dyDescent="0.3">
      <c r="A203" s="5">
        <v>75934366139</v>
      </c>
      <c r="B203" s="6">
        <v>45880</v>
      </c>
      <c r="C203" s="11">
        <v>0.75641203703703708</v>
      </c>
      <c r="D203" s="5" t="s">
        <v>48</v>
      </c>
      <c r="E203" s="11">
        <v>45890</v>
      </c>
      <c r="F203" s="11">
        <v>0.65258101851851846</v>
      </c>
      <c r="G203" s="5" t="s">
        <v>18</v>
      </c>
      <c r="H203" s="5" t="s">
        <v>18</v>
      </c>
      <c r="I203" s="5" t="s">
        <v>49</v>
      </c>
      <c r="J203" s="5">
        <v>9739779525</v>
      </c>
      <c r="K203" s="5" t="s">
        <v>124</v>
      </c>
      <c r="L203" s="5" t="s">
        <v>125</v>
      </c>
      <c r="M203" s="5" t="s">
        <v>82</v>
      </c>
      <c r="N203" s="5" t="s">
        <v>86</v>
      </c>
      <c r="O203" s="5">
        <v>8</v>
      </c>
      <c r="P203" s="5" t="s">
        <v>24</v>
      </c>
      <c r="Q203" s="5" t="s">
        <v>25</v>
      </c>
      <c r="U203" s="5">
        <v>75588436227</v>
      </c>
      <c r="V203" s="11">
        <v>45917</v>
      </c>
      <c r="W203" s="11">
        <v>0.78796296296296298</v>
      </c>
      <c r="X203" s="5">
        <f t="shared" si="30"/>
        <v>9</v>
      </c>
      <c r="Y203" s="5">
        <f t="shared" si="34"/>
        <v>38</v>
      </c>
      <c r="Z203" s="5">
        <f t="shared" si="35"/>
        <v>17</v>
      </c>
      <c r="AA203" s="5">
        <f t="shared" si="36"/>
        <v>4</v>
      </c>
      <c r="AB203" s="5" t="str">
        <f t="shared" si="37"/>
        <v>18 - 19 hr</v>
      </c>
      <c r="AC203" s="5" t="s">
        <v>55</v>
      </c>
      <c r="AD203" s="11">
        <v>45922</v>
      </c>
      <c r="AE203" s="11">
        <v>0.78041666666666665</v>
      </c>
      <c r="AF203" s="5" t="s">
        <v>18</v>
      </c>
      <c r="AG203" s="5" t="s">
        <v>18</v>
      </c>
      <c r="AH203" s="5" t="s">
        <v>36</v>
      </c>
      <c r="AI203" s="5">
        <v>8836971472</v>
      </c>
      <c r="AJ203" s="5" t="s">
        <v>247</v>
      </c>
      <c r="AK203" s="5" t="s">
        <v>248</v>
      </c>
      <c r="AL203" s="5" t="s">
        <v>82</v>
      </c>
      <c r="AM203" s="5" t="s">
        <v>39</v>
      </c>
      <c r="AN203" s="5">
        <v>1</v>
      </c>
      <c r="AO203" s="5" t="s">
        <v>24</v>
      </c>
      <c r="AP203" s="5" t="s">
        <v>25</v>
      </c>
      <c r="AQ203" s="5">
        <f t="shared" si="31"/>
        <v>119.81888888898538</v>
      </c>
      <c r="AR203" s="5">
        <f t="shared" si="32"/>
        <v>4.99</v>
      </c>
      <c r="AS203" s="5" t="str">
        <f t="shared" si="33"/>
        <v>5-8 days</v>
      </c>
      <c r="AT203" s="5" t="str">
        <f t="shared" ca="1" si="38"/>
        <v>STATUS-COMPLETE</v>
      </c>
      <c r="AU203" s="5" t="str">
        <f t="shared" ca="1" si="39"/>
        <v>STATUS-COMPLETE</v>
      </c>
      <c r="AZ203" s="3" t="s">
        <v>26</v>
      </c>
      <c r="BA203" s="12">
        <v>5.9107692307692314</v>
      </c>
    </row>
    <row r="204" spans="1:53" x14ac:dyDescent="0.3">
      <c r="A204" s="5">
        <v>75936718857</v>
      </c>
      <c r="B204" s="6">
        <v>45894</v>
      </c>
      <c r="C204" s="11">
        <v>0.65405092592592595</v>
      </c>
      <c r="D204" s="5" t="s">
        <v>78</v>
      </c>
      <c r="E204" s="11">
        <v>45895</v>
      </c>
      <c r="F204" s="11">
        <v>0.40567129629629628</v>
      </c>
      <c r="G204" s="5" t="s">
        <v>18</v>
      </c>
      <c r="H204" s="5" t="s">
        <v>18</v>
      </c>
      <c r="I204" s="5" t="s">
        <v>27</v>
      </c>
      <c r="J204" s="5">
        <v>9430335702</v>
      </c>
      <c r="K204" s="5" t="s">
        <v>280</v>
      </c>
      <c r="L204" s="5" t="s">
        <v>119</v>
      </c>
      <c r="M204" s="5" t="s">
        <v>22</v>
      </c>
      <c r="N204" s="5" t="s">
        <v>116</v>
      </c>
      <c r="O204" s="5">
        <v>7</v>
      </c>
      <c r="P204" s="5" t="s">
        <v>24</v>
      </c>
      <c r="Q204" s="5" t="s">
        <v>25</v>
      </c>
      <c r="U204" s="5">
        <v>75760508244</v>
      </c>
      <c r="V204" s="11">
        <v>45917</v>
      </c>
      <c r="W204" s="11">
        <v>0.66685185185185181</v>
      </c>
      <c r="X204" s="5">
        <f t="shared" si="30"/>
        <v>9</v>
      </c>
      <c r="Y204" s="5">
        <f t="shared" si="34"/>
        <v>38</v>
      </c>
      <c r="Z204" s="5">
        <f t="shared" si="35"/>
        <v>17</v>
      </c>
      <c r="AA204" s="5">
        <f t="shared" si="36"/>
        <v>4</v>
      </c>
      <c r="AB204" s="5" t="str">
        <f t="shared" si="37"/>
        <v>16 - 17 hr</v>
      </c>
      <c r="AC204" s="5" t="s">
        <v>26</v>
      </c>
      <c r="AD204" s="11">
        <v>45923</v>
      </c>
      <c r="AE204" s="11">
        <v>0.59074074074074079</v>
      </c>
      <c r="AF204" s="5" t="s">
        <v>18</v>
      </c>
      <c r="AG204" s="5" t="s">
        <v>18</v>
      </c>
      <c r="AH204" s="5" t="s">
        <v>27</v>
      </c>
      <c r="AI204" s="5">
        <v>8071769843</v>
      </c>
      <c r="AJ204" s="5" t="s">
        <v>369</v>
      </c>
      <c r="AK204" s="5" t="s">
        <v>220</v>
      </c>
      <c r="AL204" s="5" t="s">
        <v>22</v>
      </c>
      <c r="AM204" s="5" t="s">
        <v>203</v>
      </c>
      <c r="AN204" s="5">
        <v>2</v>
      </c>
      <c r="AO204" s="5" t="s">
        <v>24</v>
      </c>
      <c r="AP204" s="5" t="s">
        <v>25</v>
      </c>
      <c r="AQ204" s="5">
        <f t="shared" si="31"/>
        <v>142.17333333345596</v>
      </c>
      <c r="AR204" s="5">
        <f t="shared" si="32"/>
        <v>5.92</v>
      </c>
      <c r="AS204" s="5" t="str">
        <f t="shared" si="33"/>
        <v>5-8 days</v>
      </c>
      <c r="AT204" s="5" t="str">
        <f t="shared" ca="1" si="38"/>
        <v>STATUS-COMPLETE</v>
      </c>
      <c r="AU204" s="5" t="str">
        <f t="shared" ca="1" si="39"/>
        <v>STATUS-COMPLETE</v>
      </c>
      <c r="AZ204" s="3" t="s">
        <v>78</v>
      </c>
      <c r="BA204" s="12">
        <v>5.7713333333333328</v>
      </c>
    </row>
    <row r="205" spans="1:53" x14ac:dyDescent="0.3">
      <c r="A205" s="5">
        <v>75937722224</v>
      </c>
      <c r="B205" s="6">
        <v>45878</v>
      </c>
      <c r="C205" s="11">
        <v>0.84864583333333332</v>
      </c>
      <c r="D205" s="5" t="s">
        <v>17</v>
      </c>
      <c r="E205" s="11"/>
      <c r="F205" s="11"/>
      <c r="G205" s="5" t="s">
        <v>18</v>
      </c>
      <c r="H205" s="5" t="s">
        <v>18</v>
      </c>
      <c r="I205" s="5" t="s">
        <v>49</v>
      </c>
      <c r="J205" s="5">
        <v>8877279755</v>
      </c>
      <c r="K205" s="5" t="s">
        <v>283</v>
      </c>
      <c r="L205" s="5" t="s">
        <v>85</v>
      </c>
      <c r="M205" s="5" t="s">
        <v>22</v>
      </c>
      <c r="N205" s="5" t="s">
        <v>86</v>
      </c>
      <c r="O205" s="5">
        <v>1</v>
      </c>
      <c r="P205" s="5" t="s">
        <v>34</v>
      </c>
      <c r="Q205" s="5" t="s">
        <v>35</v>
      </c>
      <c r="U205" s="5">
        <v>75601794412</v>
      </c>
      <c r="V205" s="11">
        <v>45917</v>
      </c>
      <c r="W205" s="11">
        <v>0.67636574074074074</v>
      </c>
      <c r="X205" s="5">
        <f t="shared" si="30"/>
        <v>9</v>
      </c>
      <c r="Y205" s="5">
        <f t="shared" si="34"/>
        <v>38</v>
      </c>
      <c r="Z205" s="5">
        <f t="shared" si="35"/>
        <v>17</v>
      </c>
      <c r="AA205" s="5">
        <f t="shared" si="36"/>
        <v>4</v>
      </c>
      <c r="AB205" s="5" t="str">
        <f t="shared" si="37"/>
        <v>16 - 17 hr</v>
      </c>
      <c r="AC205" s="5" t="s">
        <v>55</v>
      </c>
      <c r="AD205" s="11">
        <v>45923</v>
      </c>
      <c r="AE205" s="11">
        <v>0.57391203703703708</v>
      </c>
      <c r="AF205" s="5" t="s">
        <v>18</v>
      </c>
      <c r="AG205" s="5" t="s">
        <v>18</v>
      </c>
      <c r="AH205" s="5" t="s">
        <v>27</v>
      </c>
      <c r="AI205" s="5">
        <v>9080741273</v>
      </c>
      <c r="AJ205" s="5" t="s">
        <v>384</v>
      </c>
      <c r="AK205" s="5" t="s">
        <v>220</v>
      </c>
      <c r="AL205" s="5" t="s">
        <v>22</v>
      </c>
      <c r="AM205" s="5" t="s">
        <v>203</v>
      </c>
      <c r="AN205" s="5">
        <v>3</v>
      </c>
      <c r="AO205" s="5" t="s">
        <v>24</v>
      </c>
      <c r="AP205" s="5" t="s">
        <v>25</v>
      </c>
      <c r="AQ205" s="5">
        <f t="shared" si="31"/>
        <v>141.54111111100065</v>
      </c>
      <c r="AR205" s="5">
        <f t="shared" si="32"/>
        <v>5.9</v>
      </c>
      <c r="AS205" s="5" t="str">
        <f t="shared" si="33"/>
        <v>5-8 days</v>
      </c>
      <c r="AT205" s="5" t="str">
        <f t="shared" ca="1" si="38"/>
        <v>STATUS-COMPLETE</v>
      </c>
      <c r="AU205" s="5" t="str">
        <f t="shared" ca="1" si="39"/>
        <v>STATUS-COMPLETE</v>
      </c>
      <c r="AZ205" s="3" t="s">
        <v>95</v>
      </c>
      <c r="BA205" s="12">
        <v>4.8619999999999983</v>
      </c>
    </row>
    <row r="206" spans="1:53" x14ac:dyDescent="0.3">
      <c r="A206" s="5">
        <v>75941394238</v>
      </c>
      <c r="B206" s="6">
        <v>45891</v>
      </c>
      <c r="C206" s="11">
        <v>0.67861111111111116</v>
      </c>
      <c r="D206" s="5" t="s">
        <v>17</v>
      </c>
      <c r="E206" s="11">
        <v>45902</v>
      </c>
      <c r="F206" s="11">
        <v>0.73160879629629627</v>
      </c>
      <c r="G206" s="5" t="s">
        <v>18</v>
      </c>
      <c r="H206" s="5" t="s">
        <v>18</v>
      </c>
      <c r="I206" s="5" t="s">
        <v>27</v>
      </c>
      <c r="J206" s="5">
        <v>8420277403</v>
      </c>
      <c r="K206" s="5" t="s">
        <v>245</v>
      </c>
      <c r="L206" s="5" t="s">
        <v>246</v>
      </c>
      <c r="M206" s="5" t="s">
        <v>82</v>
      </c>
      <c r="N206" s="5" t="s">
        <v>76</v>
      </c>
      <c r="O206" s="5">
        <v>9</v>
      </c>
      <c r="P206" s="5" t="s">
        <v>24</v>
      </c>
      <c r="Q206" s="5" t="s">
        <v>25</v>
      </c>
      <c r="U206" s="5">
        <v>75657553274</v>
      </c>
      <c r="V206" s="11">
        <v>45918</v>
      </c>
      <c r="W206" s="11">
        <v>0.48268518518518516</v>
      </c>
      <c r="X206" s="5">
        <f t="shared" si="30"/>
        <v>9</v>
      </c>
      <c r="Y206" s="5">
        <f t="shared" si="34"/>
        <v>38</v>
      </c>
      <c r="Z206" s="5">
        <f t="shared" si="35"/>
        <v>18</v>
      </c>
      <c r="AA206" s="5">
        <f t="shared" si="36"/>
        <v>5</v>
      </c>
      <c r="AB206" s="5" t="str">
        <f t="shared" si="37"/>
        <v>11 - 12 hr</v>
      </c>
      <c r="AC206" s="5" t="s">
        <v>95</v>
      </c>
      <c r="AD206" s="11">
        <v>45922</v>
      </c>
      <c r="AE206" s="11">
        <v>0.57089120370370372</v>
      </c>
      <c r="AF206" s="5" t="s">
        <v>18</v>
      </c>
      <c r="AG206" s="5" t="s">
        <v>18</v>
      </c>
      <c r="AH206" s="5" t="s">
        <v>49</v>
      </c>
      <c r="AI206" s="5">
        <v>7011492154</v>
      </c>
      <c r="AJ206" s="5" t="s">
        <v>96</v>
      </c>
      <c r="AK206" s="5" t="s">
        <v>65</v>
      </c>
      <c r="AL206" s="5" t="s">
        <v>82</v>
      </c>
      <c r="AM206" s="5" t="s">
        <v>66</v>
      </c>
      <c r="AN206" s="5">
        <v>6</v>
      </c>
      <c r="AO206" s="5" t="s">
        <v>24</v>
      </c>
      <c r="AP206" s="5" t="s">
        <v>25</v>
      </c>
      <c r="AQ206" s="5">
        <f t="shared" si="31"/>
        <v>98.116944444424007</v>
      </c>
      <c r="AR206" s="5">
        <f t="shared" si="32"/>
        <v>4.09</v>
      </c>
      <c r="AS206" s="5" t="str">
        <f t="shared" si="33"/>
        <v>5-8 days</v>
      </c>
      <c r="AT206" s="5" t="str">
        <f t="shared" ca="1" si="38"/>
        <v>STATUS-COMPLETE</v>
      </c>
      <c r="AU206" s="5" t="str">
        <f t="shared" ca="1" si="39"/>
        <v>STATUS-COMPLETE</v>
      </c>
      <c r="AZ206" s="3" t="s">
        <v>665</v>
      </c>
      <c r="BA206" s="12" t="e">
        <v>#DIV/0!</v>
      </c>
    </row>
    <row r="207" spans="1:53" x14ac:dyDescent="0.3">
      <c r="A207" s="5">
        <v>75941755366</v>
      </c>
      <c r="B207" s="6">
        <v>45921</v>
      </c>
      <c r="C207" s="11">
        <v>0.79932870370370368</v>
      </c>
      <c r="D207" s="5" t="s">
        <v>26</v>
      </c>
      <c r="E207" s="11"/>
      <c r="F207" s="11"/>
      <c r="G207" s="5" t="s">
        <v>18</v>
      </c>
      <c r="H207" s="5" t="s">
        <v>18</v>
      </c>
      <c r="I207" s="5" t="s">
        <v>19</v>
      </c>
      <c r="J207" s="5">
        <v>8880157459</v>
      </c>
      <c r="K207" s="5" t="s">
        <v>173</v>
      </c>
      <c r="L207" s="5" t="s">
        <v>174</v>
      </c>
      <c r="M207" s="5" t="s">
        <v>22</v>
      </c>
      <c r="N207" s="5" t="s">
        <v>63</v>
      </c>
      <c r="O207" s="5">
        <v>4</v>
      </c>
      <c r="P207" s="5" t="s">
        <v>34</v>
      </c>
      <c r="Q207" s="5" t="s">
        <v>60</v>
      </c>
      <c r="U207" s="5">
        <v>75538712095</v>
      </c>
      <c r="V207" s="11">
        <v>45918</v>
      </c>
      <c r="W207" s="11">
        <v>0.64913194444444444</v>
      </c>
      <c r="X207" s="5">
        <f t="shared" si="30"/>
        <v>9</v>
      </c>
      <c r="Y207" s="5">
        <f t="shared" si="34"/>
        <v>38</v>
      </c>
      <c r="Z207" s="5">
        <f t="shared" si="35"/>
        <v>18</v>
      </c>
      <c r="AA207" s="5">
        <f t="shared" si="36"/>
        <v>5</v>
      </c>
      <c r="AB207" s="5" t="str">
        <f t="shared" si="37"/>
        <v>15 - 16 hr</v>
      </c>
      <c r="AC207" s="5" t="s">
        <v>26</v>
      </c>
      <c r="AD207" s="11">
        <v>45924</v>
      </c>
      <c r="AE207" s="11">
        <v>0.41702546296296295</v>
      </c>
      <c r="AF207" s="5" t="s">
        <v>18</v>
      </c>
      <c r="AG207" s="5" t="s">
        <v>18</v>
      </c>
      <c r="AH207" s="5" t="s">
        <v>49</v>
      </c>
      <c r="AI207" s="5">
        <v>9148610411</v>
      </c>
      <c r="AJ207" s="5" t="s">
        <v>161</v>
      </c>
      <c r="AK207" s="5" t="s">
        <v>162</v>
      </c>
      <c r="AL207" s="5" t="s">
        <v>29</v>
      </c>
      <c r="AM207" s="5" t="s">
        <v>94</v>
      </c>
      <c r="AN207" s="5">
        <v>8</v>
      </c>
      <c r="AO207" s="5" t="s">
        <v>24</v>
      </c>
      <c r="AP207" s="5" t="s">
        <v>25</v>
      </c>
      <c r="AQ207" s="5">
        <f t="shared" si="31"/>
        <v>138.42944444442401</v>
      </c>
      <c r="AR207" s="5">
        <f t="shared" si="32"/>
        <v>5.77</v>
      </c>
      <c r="AS207" s="5" t="str">
        <f t="shared" si="33"/>
        <v>5-8 days</v>
      </c>
      <c r="AT207" s="5" t="str">
        <f t="shared" ca="1" si="38"/>
        <v>STATUS-COMPLETE</v>
      </c>
      <c r="AU207" s="5" t="str">
        <f t="shared" ca="1" si="39"/>
        <v>STATUS-COMPLETE</v>
      </c>
      <c r="AZ207" s="3" t="s">
        <v>392</v>
      </c>
      <c r="BA207" s="64">
        <v>6.7445569620253174</v>
      </c>
    </row>
    <row r="208" spans="1:53" x14ac:dyDescent="0.3">
      <c r="A208" s="5">
        <v>75945179180</v>
      </c>
      <c r="B208" s="6">
        <v>45878</v>
      </c>
      <c r="C208" s="11">
        <v>0.57777777777777772</v>
      </c>
      <c r="D208" s="5" t="s">
        <v>30</v>
      </c>
      <c r="E208" s="11"/>
      <c r="F208" s="11"/>
      <c r="G208" s="5" t="s">
        <v>18</v>
      </c>
      <c r="H208" s="5" t="s">
        <v>18</v>
      </c>
      <c r="I208" s="5" t="s">
        <v>19</v>
      </c>
      <c r="J208" s="5">
        <v>8282287615</v>
      </c>
      <c r="K208" s="5" t="s">
        <v>112</v>
      </c>
      <c r="L208" s="5" t="s">
        <v>113</v>
      </c>
      <c r="M208" s="5" t="s">
        <v>29</v>
      </c>
      <c r="N208" s="5" t="s">
        <v>23</v>
      </c>
      <c r="O208" s="5">
        <v>3</v>
      </c>
      <c r="P208" s="5" t="s">
        <v>34</v>
      </c>
      <c r="Q208" s="5" t="s">
        <v>60</v>
      </c>
      <c r="U208" s="5">
        <v>75850773824</v>
      </c>
      <c r="V208" s="11">
        <v>45918</v>
      </c>
      <c r="W208" s="11">
        <v>0.66885416666666664</v>
      </c>
      <c r="X208" s="5">
        <f t="shared" si="30"/>
        <v>9</v>
      </c>
      <c r="Y208" s="5">
        <f t="shared" si="34"/>
        <v>38</v>
      </c>
      <c r="Z208" s="5">
        <f t="shared" si="35"/>
        <v>18</v>
      </c>
      <c r="AA208" s="5">
        <f t="shared" si="36"/>
        <v>5</v>
      </c>
      <c r="AB208" s="5" t="str">
        <f t="shared" si="37"/>
        <v>16 - 17 hr</v>
      </c>
      <c r="AC208" s="5" t="s">
        <v>30</v>
      </c>
      <c r="AD208" s="11">
        <v>45930</v>
      </c>
      <c r="AE208" s="11">
        <v>0.54598379629629634</v>
      </c>
      <c r="AF208" s="5" t="s">
        <v>18</v>
      </c>
      <c r="AG208" s="5" t="s">
        <v>18</v>
      </c>
      <c r="AH208" s="5" t="s">
        <v>49</v>
      </c>
      <c r="AI208" s="5">
        <v>7399546384</v>
      </c>
      <c r="AJ208" s="5" t="s">
        <v>346</v>
      </c>
      <c r="AK208" s="5" t="s">
        <v>85</v>
      </c>
      <c r="AL208" s="5" t="s">
        <v>82</v>
      </c>
      <c r="AM208" s="5" t="s">
        <v>86</v>
      </c>
      <c r="AN208" s="5">
        <v>2</v>
      </c>
      <c r="AO208" s="5" t="s">
        <v>24</v>
      </c>
      <c r="AP208" s="5" t="s">
        <v>25</v>
      </c>
      <c r="AQ208" s="5">
        <f t="shared" si="31"/>
        <v>285.05111111118458</v>
      </c>
      <c r="AR208" s="5">
        <f t="shared" si="32"/>
        <v>11.88</v>
      </c>
      <c r="AS208" s="5" t="str">
        <f t="shared" si="33"/>
        <v>9-12 days</v>
      </c>
      <c r="AT208" s="5" t="str">
        <f t="shared" ca="1" si="38"/>
        <v>STATUS-COMPLETE</v>
      </c>
      <c r="AU208" s="5" t="str">
        <f t="shared" ca="1" si="39"/>
        <v>STATUS-COMPLETE</v>
      </c>
    </row>
    <row r="209" spans="1:60" x14ac:dyDescent="0.3">
      <c r="A209" s="5">
        <v>75945985356</v>
      </c>
      <c r="B209" s="6">
        <v>45917</v>
      </c>
      <c r="C209" s="11">
        <v>0.58429398148148148</v>
      </c>
      <c r="D209" s="5" t="s">
        <v>30</v>
      </c>
      <c r="E209" s="11"/>
      <c r="F209" s="11"/>
      <c r="G209" s="5" t="s">
        <v>18</v>
      </c>
      <c r="H209" s="5" t="s">
        <v>18</v>
      </c>
      <c r="I209" s="5" t="s">
        <v>36</v>
      </c>
      <c r="J209" s="5">
        <v>7774223342</v>
      </c>
      <c r="K209" s="5" t="s">
        <v>178</v>
      </c>
      <c r="L209" s="5" t="s">
        <v>21</v>
      </c>
      <c r="M209" s="5" t="s">
        <v>22</v>
      </c>
      <c r="N209" s="5" t="s">
        <v>23</v>
      </c>
      <c r="O209" s="5">
        <v>6</v>
      </c>
      <c r="P209" s="5" t="s">
        <v>34</v>
      </c>
      <c r="Q209" s="5" t="s">
        <v>35</v>
      </c>
      <c r="U209" s="5">
        <v>75635154329</v>
      </c>
      <c r="V209" s="11">
        <v>45919</v>
      </c>
      <c r="W209" s="11">
        <v>0.80045138888888889</v>
      </c>
      <c r="X209" s="5">
        <f t="shared" si="30"/>
        <v>9</v>
      </c>
      <c r="Y209" s="5">
        <f t="shared" si="34"/>
        <v>38</v>
      </c>
      <c r="Z209" s="5">
        <f t="shared" si="35"/>
        <v>19</v>
      </c>
      <c r="AA209" s="5">
        <f t="shared" si="36"/>
        <v>6</v>
      </c>
      <c r="AB209" s="5" t="str">
        <f t="shared" si="37"/>
        <v>19 - 20 hr</v>
      </c>
      <c r="AC209" s="5" t="s">
        <v>30</v>
      </c>
      <c r="AD209" s="11"/>
      <c r="AE209" s="11"/>
      <c r="AF209" s="5" t="s">
        <v>18</v>
      </c>
      <c r="AG209" s="5" t="s">
        <v>18</v>
      </c>
      <c r="AH209" s="5" t="s">
        <v>27</v>
      </c>
      <c r="AI209" s="5">
        <v>9910976189</v>
      </c>
      <c r="AJ209" s="5" t="s">
        <v>128</v>
      </c>
      <c r="AK209" s="5" t="s">
        <v>129</v>
      </c>
      <c r="AL209" s="5" t="s">
        <v>33</v>
      </c>
      <c r="AM209" s="5" t="s">
        <v>72</v>
      </c>
      <c r="AN209" s="5">
        <v>9</v>
      </c>
      <c r="AO209" s="5" t="s">
        <v>34</v>
      </c>
      <c r="AP209" s="5" t="s">
        <v>35</v>
      </c>
      <c r="AQ209" s="5" t="str">
        <f t="shared" si="31"/>
        <v>Issue_pending</v>
      </c>
      <c r="AR209" s="5" t="str">
        <f t="shared" si="32"/>
        <v>Issue_pending</v>
      </c>
      <c r="AS209" s="5" t="str">
        <f t="shared" si="33"/>
        <v>Issue_pending</v>
      </c>
      <c r="AT209" s="5">
        <f t="shared" ca="1" si="38"/>
        <v>11</v>
      </c>
      <c r="AU209" s="5" t="str">
        <f t="shared" ca="1" si="39"/>
        <v>8-20 days</v>
      </c>
    </row>
    <row r="210" spans="1:60" x14ac:dyDescent="0.3">
      <c r="A210" s="5">
        <v>75946666136</v>
      </c>
      <c r="B210" s="6">
        <v>45905</v>
      </c>
      <c r="C210" s="11">
        <v>0.64724537037037033</v>
      </c>
      <c r="D210" s="5" t="s">
        <v>43</v>
      </c>
      <c r="E210" s="11"/>
      <c r="F210" s="11"/>
      <c r="G210" s="5" t="s">
        <v>18</v>
      </c>
      <c r="H210" s="5" t="s">
        <v>18</v>
      </c>
      <c r="I210" s="5" t="s">
        <v>36</v>
      </c>
      <c r="J210" s="5">
        <v>7167134213</v>
      </c>
      <c r="K210" s="5" t="s">
        <v>228</v>
      </c>
      <c r="L210" s="5" t="s">
        <v>229</v>
      </c>
      <c r="M210" s="5" t="s">
        <v>82</v>
      </c>
      <c r="N210" s="5" t="s">
        <v>39</v>
      </c>
      <c r="O210" s="5">
        <v>6</v>
      </c>
      <c r="P210" s="5" t="s">
        <v>34</v>
      </c>
      <c r="Q210" s="5" t="s">
        <v>67</v>
      </c>
      <c r="U210" s="5">
        <v>75548604290</v>
      </c>
      <c r="V210" s="11">
        <v>45919</v>
      </c>
      <c r="W210" s="11">
        <v>0.54422453703703699</v>
      </c>
      <c r="X210" s="5">
        <f t="shared" si="30"/>
        <v>9</v>
      </c>
      <c r="Y210" s="5">
        <f t="shared" si="34"/>
        <v>38</v>
      </c>
      <c r="Z210" s="5">
        <f t="shared" si="35"/>
        <v>19</v>
      </c>
      <c r="AA210" s="5">
        <f t="shared" si="36"/>
        <v>6</v>
      </c>
      <c r="AB210" s="5" t="str">
        <f t="shared" si="37"/>
        <v>13 - 14 hr</v>
      </c>
      <c r="AC210" s="5" t="s">
        <v>48</v>
      </c>
      <c r="AD210" s="11">
        <v>45928</v>
      </c>
      <c r="AE210" s="11">
        <v>0.63254629629629633</v>
      </c>
      <c r="AF210" s="5" t="s">
        <v>18</v>
      </c>
      <c r="AG210" s="5" t="s">
        <v>18</v>
      </c>
      <c r="AH210" s="5" t="s">
        <v>49</v>
      </c>
      <c r="AI210" s="5">
        <v>8594343845</v>
      </c>
      <c r="AJ210" s="5" t="s">
        <v>182</v>
      </c>
      <c r="AK210" s="5" t="s">
        <v>51</v>
      </c>
      <c r="AL210" s="5" t="s">
        <v>82</v>
      </c>
      <c r="AM210" s="5" t="s">
        <v>52</v>
      </c>
      <c r="AN210" s="5">
        <v>6</v>
      </c>
      <c r="AO210" s="5" t="s">
        <v>24</v>
      </c>
      <c r="AP210" s="5" t="s">
        <v>25</v>
      </c>
      <c r="AQ210" s="5">
        <f t="shared" si="31"/>
        <v>218.11972222232725</v>
      </c>
      <c r="AR210" s="5">
        <f t="shared" si="32"/>
        <v>9.09</v>
      </c>
      <c r="AS210" s="5" t="str">
        <f t="shared" si="33"/>
        <v>9-12 days</v>
      </c>
      <c r="AT210" s="5" t="str">
        <f t="shared" ca="1" si="38"/>
        <v>STATUS-COMPLETE</v>
      </c>
      <c r="AU210" s="5" t="str">
        <f t="shared" ca="1" si="39"/>
        <v>STATUS-COMPLETE</v>
      </c>
    </row>
    <row r="211" spans="1:60" x14ac:dyDescent="0.3">
      <c r="A211" s="5">
        <v>75951208305</v>
      </c>
      <c r="B211" s="6">
        <v>45875</v>
      </c>
      <c r="C211" s="11">
        <v>0.4954513888888889</v>
      </c>
      <c r="D211" s="5" t="s">
        <v>17</v>
      </c>
      <c r="E211" s="11"/>
      <c r="F211" s="11"/>
      <c r="G211" s="5" t="s">
        <v>18</v>
      </c>
      <c r="H211" s="5" t="s">
        <v>18</v>
      </c>
      <c r="I211" s="5" t="s">
        <v>49</v>
      </c>
      <c r="J211" s="5">
        <v>7953645978</v>
      </c>
      <c r="K211" s="5" t="s">
        <v>183</v>
      </c>
      <c r="L211" s="5" t="s">
        <v>184</v>
      </c>
      <c r="M211" s="5" t="s">
        <v>29</v>
      </c>
      <c r="N211" s="5" t="s">
        <v>86</v>
      </c>
      <c r="O211" s="5">
        <v>4</v>
      </c>
      <c r="P211" s="5" t="s">
        <v>34</v>
      </c>
      <c r="Q211" s="5" t="s">
        <v>60</v>
      </c>
      <c r="U211" s="5">
        <v>75749019278</v>
      </c>
      <c r="V211" s="11">
        <v>45919</v>
      </c>
      <c r="W211" s="11">
        <v>0.81288194444444439</v>
      </c>
      <c r="X211" s="5">
        <f t="shared" si="30"/>
        <v>9</v>
      </c>
      <c r="Y211" s="5">
        <f t="shared" si="34"/>
        <v>38</v>
      </c>
      <c r="Z211" s="5">
        <f t="shared" si="35"/>
        <v>19</v>
      </c>
      <c r="AA211" s="5">
        <f t="shared" si="36"/>
        <v>6</v>
      </c>
      <c r="AB211" s="5" t="str">
        <f t="shared" si="37"/>
        <v>19 - 20 hr</v>
      </c>
      <c r="AC211" s="5" t="s">
        <v>55</v>
      </c>
      <c r="AD211" s="11">
        <v>45927</v>
      </c>
      <c r="AE211" s="11">
        <v>0.40634259259259259</v>
      </c>
      <c r="AF211" s="5" t="s">
        <v>18</v>
      </c>
      <c r="AG211" s="5" t="s">
        <v>18</v>
      </c>
      <c r="AH211" s="5" t="s">
        <v>36</v>
      </c>
      <c r="AI211" s="5">
        <v>8347557120</v>
      </c>
      <c r="AJ211" s="5" t="s">
        <v>234</v>
      </c>
      <c r="AK211" s="5" t="s">
        <v>235</v>
      </c>
      <c r="AL211" s="5" t="s">
        <v>82</v>
      </c>
      <c r="AM211" s="5" t="s">
        <v>39</v>
      </c>
      <c r="AN211" s="5">
        <v>5</v>
      </c>
      <c r="AO211" s="5" t="s">
        <v>24</v>
      </c>
      <c r="AP211" s="5" t="s">
        <v>25</v>
      </c>
      <c r="AQ211" s="5">
        <f t="shared" si="31"/>
        <v>182.24305555550382</v>
      </c>
      <c r="AR211" s="5">
        <f t="shared" si="32"/>
        <v>7.59</v>
      </c>
      <c r="AS211" s="5" t="str">
        <f t="shared" si="33"/>
        <v>5-8 days</v>
      </c>
      <c r="AT211" s="5" t="str">
        <f t="shared" ca="1" si="38"/>
        <v>STATUS-COMPLETE</v>
      </c>
      <c r="AU211" s="5" t="str">
        <f t="shared" ca="1" si="39"/>
        <v>STATUS-COMPLETE</v>
      </c>
    </row>
    <row r="212" spans="1:60" x14ac:dyDescent="0.3">
      <c r="A212" s="5">
        <v>75958260221</v>
      </c>
      <c r="B212" s="6">
        <v>45902</v>
      </c>
      <c r="C212" s="11">
        <v>0.73872685185185183</v>
      </c>
      <c r="D212" s="5" t="s">
        <v>26</v>
      </c>
      <c r="E212" s="11">
        <v>45912</v>
      </c>
      <c r="F212" s="11">
        <v>0.51113425925925926</v>
      </c>
      <c r="G212" s="5" t="s">
        <v>18</v>
      </c>
      <c r="H212" s="5" t="s">
        <v>18</v>
      </c>
      <c r="I212" s="5" t="s">
        <v>27</v>
      </c>
      <c r="J212" s="5">
        <v>8564319318</v>
      </c>
      <c r="K212" s="5" t="s">
        <v>28</v>
      </c>
      <c r="L212" s="5" t="s">
        <v>21</v>
      </c>
      <c r="M212" s="5" t="s">
        <v>29</v>
      </c>
      <c r="N212" s="5" t="s">
        <v>23</v>
      </c>
      <c r="O212" s="5">
        <v>3</v>
      </c>
      <c r="P212" s="5" t="s">
        <v>24</v>
      </c>
      <c r="Q212" s="5" t="s">
        <v>25</v>
      </c>
      <c r="U212" s="5">
        <v>75522628457</v>
      </c>
      <c r="V212" s="11">
        <v>45919</v>
      </c>
      <c r="W212" s="11">
        <v>0.57608796296296294</v>
      </c>
      <c r="X212" s="5">
        <f t="shared" si="30"/>
        <v>9</v>
      </c>
      <c r="Y212" s="5">
        <f t="shared" si="34"/>
        <v>38</v>
      </c>
      <c r="Z212" s="5">
        <f t="shared" si="35"/>
        <v>19</v>
      </c>
      <c r="AA212" s="5">
        <f t="shared" si="36"/>
        <v>6</v>
      </c>
      <c r="AB212" s="5" t="str">
        <f t="shared" si="37"/>
        <v>13 - 14 hr</v>
      </c>
      <c r="AC212" s="5" t="str">
        <f>"Unknown_Handler"</f>
        <v>Unknown_Handler</v>
      </c>
      <c r="AD212" s="11"/>
      <c r="AE212" s="11"/>
      <c r="AF212" s="5" t="s">
        <v>18</v>
      </c>
      <c r="AG212" s="5" t="s">
        <v>18</v>
      </c>
      <c r="AH212" s="5" t="s">
        <v>49</v>
      </c>
      <c r="AI212" s="5">
        <v>9328058564</v>
      </c>
      <c r="AJ212" s="5" t="s">
        <v>313</v>
      </c>
      <c r="AK212" s="5" t="s">
        <v>177</v>
      </c>
      <c r="AL212" s="5" t="s">
        <v>22</v>
      </c>
      <c r="AM212" s="5" t="s">
        <v>102</v>
      </c>
      <c r="AN212" s="5">
        <v>1</v>
      </c>
      <c r="AO212" s="5" t="s">
        <v>34</v>
      </c>
      <c r="AP212" s="5" t="s">
        <v>35</v>
      </c>
      <c r="AQ212" s="5" t="str">
        <f t="shared" si="31"/>
        <v>Issue_pending</v>
      </c>
      <c r="AR212" s="5" t="str">
        <f t="shared" si="32"/>
        <v>Issue_pending</v>
      </c>
      <c r="AS212" s="5" t="str">
        <f t="shared" si="33"/>
        <v>Issue_pending</v>
      </c>
      <c r="AT212" s="5">
        <f t="shared" ca="1" si="38"/>
        <v>11</v>
      </c>
      <c r="AU212" s="5" t="str">
        <f t="shared" ca="1" si="39"/>
        <v>8-20 days</v>
      </c>
    </row>
    <row r="213" spans="1:60" x14ac:dyDescent="0.3">
      <c r="A213" s="5">
        <v>75967243311</v>
      </c>
      <c r="B213" s="6">
        <v>45901</v>
      </c>
      <c r="C213" s="11">
        <v>0.39165509259259257</v>
      </c>
      <c r="D213" s="5" t="s">
        <v>78</v>
      </c>
      <c r="E213" s="11">
        <v>45905</v>
      </c>
      <c r="F213" s="11">
        <v>0.69488425925925923</v>
      </c>
      <c r="G213" s="5" t="s">
        <v>18</v>
      </c>
      <c r="H213" s="5" t="s">
        <v>18</v>
      </c>
      <c r="I213" s="5" t="s">
        <v>27</v>
      </c>
      <c r="J213" s="5">
        <v>7566862173</v>
      </c>
      <c r="K213" s="5" t="s">
        <v>331</v>
      </c>
      <c r="L213" s="5" t="s">
        <v>189</v>
      </c>
      <c r="M213" s="5" t="s">
        <v>22</v>
      </c>
      <c r="N213" s="5" t="s">
        <v>86</v>
      </c>
      <c r="O213" s="5">
        <v>10</v>
      </c>
      <c r="P213" s="5" t="s">
        <v>24</v>
      </c>
      <c r="Q213" s="5" t="s">
        <v>25</v>
      </c>
      <c r="U213" s="5">
        <v>75473456403</v>
      </c>
      <c r="V213" s="11">
        <v>45919</v>
      </c>
      <c r="W213" s="11">
        <v>0.73333333333333328</v>
      </c>
      <c r="X213" s="5">
        <f t="shared" si="30"/>
        <v>9</v>
      </c>
      <c r="Y213" s="5">
        <f t="shared" si="34"/>
        <v>38</v>
      </c>
      <c r="Z213" s="5">
        <f t="shared" si="35"/>
        <v>19</v>
      </c>
      <c r="AA213" s="5">
        <f t="shared" si="36"/>
        <v>6</v>
      </c>
      <c r="AB213" s="5" t="str">
        <f t="shared" si="37"/>
        <v>17 - 18 hr</v>
      </c>
      <c r="AC213" s="5" t="s">
        <v>58</v>
      </c>
      <c r="AD213" s="11"/>
      <c r="AE213" s="11"/>
      <c r="AF213" s="5" t="s">
        <v>18</v>
      </c>
      <c r="AG213" s="5" t="s">
        <v>18</v>
      </c>
      <c r="AH213" s="5" t="s">
        <v>19</v>
      </c>
      <c r="AI213" s="5">
        <v>9791815554</v>
      </c>
      <c r="AJ213" s="5" t="s">
        <v>328</v>
      </c>
      <c r="AK213" s="5" t="s">
        <v>265</v>
      </c>
      <c r="AL213" s="5" t="s">
        <v>82</v>
      </c>
      <c r="AM213" s="5" t="s">
        <v>52</v>
      </c>
      <c r="AN213" s="5">
        <v>4</v>
      </c>
      <c r="AO213" s="5" t="s">
        <v>34</v>
      </c>
      <c r="AP213" s="5" t="s">
        <v>67</v>
      </c>
      <c r="AQ213" s="5" t="str">
        <f t="shared" si="31"/>
        <v>Issue_pending</v>
      </c>
      <c r="AR213" s="5" t="str">
        <f t="shared" si="32"/>
        <v>Issue_pending</v>
      </c>
      <c r="AS213" s="5" t="str">
        <f t="shared" si="33"/>
        <v>Issue_pending</v>
      </c>
      <c r="AT213" s="5">
        <f t="shared" ca="1" si="38"/>
        <v>11</v>
      </c>
      <c r="AU213" s="5" t="str">
        <f t="shared" ca="1" si="39"/>
        <v>8-20 days</v>
      </c>
    </row>
    <row r="214" spans="1:60" x14ac:dyDescent="0.3">
      <c r="A214" s="5">
        <v>75969732591</v>
      </c>
      <c r="B214" s="6">
        <v>45884</v>
      </c>
      <c r="C214" s="11">
        <v>0.71732638888888889</v>
      </c>
      <c r="D214" s="5" t="s">
        <v>78</v>
      </c>
      <c r="E214" s="11">
        <v>45887</v>
      </c>
      <c r="F214" s="11">
        <v>0.43935185185185183</v>
      </c>
      <c r="G214" s="5" t="s">
        <v>18</v>
      </c>
      <c r="H214" s="5" t="s">
        <v>18</v>
      </c>
      <c r="I214" s="5" t="s">
        <v>27</v>
      </c>
      <c r="J214" s="5">
        <v>8507961865</v>
      </c>
      <c r="K214" s="5" t="s">
        <v>166</v>
      </c>
      <c r="L214" s="5" t="s">
        <v>167</v>
      </c>
      <c r="M214" s="5" t="s">
        <v>22</v>
      </c>
      <c r="N214" s="5" t="s">
        <v>142</v>
      </c>
      <c r="O214" s="5">
        <v>8</v>
      </c>
      <c r="P214" s="5" t="s">
        <v>24</v>
      </c>
      <c r="Q214" s="5" t="s">
        <v>25</v>
      </c>
      <c r="U214" s="5">
        <v>75508482467</v>
      </c>
      <c r="V214" s="11">
        <v>45919</v>
      </c>
      <c r="W214" s="11">
        <v>0.59675925925925921</v>
      </c>
      <c r="X214" s="5">
        <f t="shared" si="30"/>
        <v>9</v>
      </c>
      <c r="Y214" s="5">
        <f t="shared" si="34"/>
        <v>38</v>
      </c>
      <c r="Z214" s="5">
        <f t="shared" si="35"/>
        <v>19</v>
      </c>
      <c r="AA214" s="5">
        <f t="shared" si="36"/>
        <v>6</v>
      </c>
      <c r="AB214" s="5" t="str">
        <f t="shared" si="37"/>
        <v>14 - 15 hr</v>
      </c>
      <c r="AC214" s="5" t="s">
        <v>95</v>
      </c>
      <c r="AD214" s="11">
        <v>45928</v>
      </c>
      <c r="AE214" s="11">
        <v>0.58637731481481481</v>
      </c>
      <c r="AF214" s="5" t="s">
        <v>18</v>
      </c>
      <c r="AG214" s="5" t="s">
        <v>18</v>
      </c>
      <c r="AH214" s="5" t="s">
        <v>27</v>
      </c>
      <c r="AI214" s="5">
        <v>7676474018</v>
      </c>
      <c r="AJ214" s="5" t="s">
        <v>363</v>
      </c>
      <c r="AK214" s="5" t="s">
        <v>364</v>
      </c>
      <c r="AL214" s="5" t="s">
        <v>29</v>
      </c>
      <c r="AM214" s="5" t="s">
        <v>72</v>
      </c>
      <c r="AN214" s="5">
        <v>7</v>
      </c>
      <c r="AO214" s="5" t="s">
        <v>24</v>
      </c>
      <c r="AP214" s="5" t="s">
        <v>25</v>
      </c>
      <c r="AQ214" s="5">
        <f t="shared" si="31"/>
        <v>215.75083333341172</v>
      </c>
      <c r="AR214" s="5">
        <f t="shared" si="32"/>
        <v>8.99</v>
      </c>
      <c r="AS214" s="5" t="str">
        <f t="shared" si="33"/>
        <v>9-12 days</v>
      </c>
      <c r="AT214" s="5" t="str">
        <f t="shared" ca="1" si="38"/>
        <v>STATUS-COMPLETE</v>
      </c>
      <c r="AU214" s="5" t="str">
        <f t="shared" ca="1" si="39"/>
        <v>STATUS-COMPLETE</v>
      </c>
    </row>
    <row r="215" spans="1:60" x14ac:dyDescent="0.3">
      <c r="A215" s="5">
        <v>75972817675</v>
      </c>
      <c r="B215" s="6">
        <v>45875</v>
      </c>
      <c r="C215" s="11">
        <v>0.43936342592592592</v>
      </c>
      <c r="D215" s="5" t="s">
        <v>95</v>
      </c>
      <c r="E215" s="11">
        <v>45886</v>
      </c>
      <c r="F215" s="11">
        <v>0.72023148148148153</v>
      </c>
      <c r="G215" s="5" t="s">
        <v>18</v>
      </c>
      <c r="H215" s="5" t="s">
        <v>18</v>
      </c>
      <c r="I215" s="5" t="s">
        <v>49</v>
      </c>
      <c r="J215" s="5">
        <v>9541797909</v>
      </c>
      <c r="K215" s="5" t="s">
        <v>215</v>
      </c>
      <c r="L215" s="5" t="s">
        <v>216</v>
      </c>
      <c r="M215" s="5" t="s">
        <v>33</v>
      </c>
      <c r="N215" s="5" t="s">
        <v>52</v>
      </c>
      <c r="O215" s="5">
        <v>1</v>
      </c>
      <c r="P215" s="5" t="s">
        <v>24</v>
      </c>
      <c r="Q215" s="5" t="s">
        <v>25</v>
      </c>
      <c r="U215" s="5">
        <v>75631875999</v>
      </c>
      <c r="V215" s="11">
        <v>45920</v>
      </c>
      <c r="W215" s="11">
        <v>0.51515046296296296</v>
      </c>
      <c r="X215" s="5">
        <f t="shared" si="30"/>
        <v>9</v>
      </c>
      <c r="Y215" s="5">
        <f t="shared" si="34"/>
        <v>38</v>
      </c>
      <c r="Z215" s="5">
        <f t="shared" si="35"/>
        <v>20</v>
      </c>
      <c r="AA215" s="5">
        <f t="shared" si="36"/>
        <v>7</v>
      </c>
      <c r="AB215" s="5" t="str">
        <f t="shared" si="37"/>
        <v>12 - 13 hr</v>
      </c>
      <c r="AC215" s="5" t="s">
        <v>95</v>
      </c>
      <c r="AD215" s="11">
        <v>45923</v>
      </c>
      <c r="AE215" s="11">
        <v>0.75907407407407412</v>
      </c>
      <c r="AF215" s="5" t="s">
        <v>18</v>
      </c>
      <c r="AG215" s="5" t="s">
        <v>18</v>
      </c>
      <c r="AH215" s="5" t="s">
        <v>27</v>
      </c>
      <c r="AI215" s="5">
        <v>9559721644</v>
      </c>
      <c r="AJ215" s="5" t="s">
        <v>140</v>
      </c>
      <c r="AK215" s="5" t="s">
        <v>141</v>
      </c>
      <c r="AL215" s="5" t="s">
        <v>82</v>
      </c>
      <c r="AM215" s="5" t="s">
        <v>142</v>
      </c>
      <c r="AN215" s="5">
        <v>3</v>
      </c>
      <c r="AO215" s="5" t="s">
        <v>24</v>
      </c>
      <c r="AP215" s="5" t="s">
        <v>25</v>
      </c>
      <c r="AQ215" s="5">
        <f t="shared" si="31"/>
        <v>77.854166666627862</v>
      </c>
      <c r="AR215" s="5">
        <f t="shared" si="32"/>
        <v>3.24</v>
      </c>
      <c r="AS215" s="5" t="str">
        <f t="shared" si="33"/>
        <v>1-4 days</v>
      </c>
      <c r="AT215" s="5" t="str">
        <f t="shared" ca="1" si="38"/>
        <v>STATUS-COMPLETE</v>
      </c>
      <c r="AU215" s="5" t="str">
        <f t="shared" ca="1" si="39"/>
        <v>STATUS-COMPLETE</v>
      </c>
    </row>
    <row r="216" spans="1:60" x14ac:dyDescent="0.3">
      <c r="A216" s="5">
        <v>75977909930</v>
      </c>
      <c r="B216" s="6">
        <v>45870</v>
      </c>
      <c r="C216" s="11">
        <v>0.86636574074074069</v>
      </c>
      <c r="D216" s="5" t="s">
        <v>58</v>
      </c>
      <c r="E216" s="11"/>
      <c r="F216" s="11"/>
      <c r="G216" s="5" t="s">
        <v>18</v>
      </c>
      <c r="H216" s="5" t="s">
        <v>18</v>
      </c>
      <c r="I216" s="5" t="s">
        <v>36</v>
      </c>
      <c r="J216" s="5">
        <v>7947206476</v>
      </c>
      <c r="K216" s="5" t="s">
        <v>59</v>
      </c>
      <c r="L216" s="5" t="s">
        <v>54</v>
      </c>
      <c r="M216" s="5" t="s">
        <v>29</v>
      </c>
      <c r="N216" s="5" t="s">
        <v>42</v>
      </c>
      <c r="O216" s="5">
        <v>8</v>
      </c>
      <c r="P216" s="5" t="s">
        <v>34</v>
      </c>
      <c r="Q216" s="5" t="s">
        <v>60</v>
      </c>
      <c r="U216" s="5">
        <v>75891819409</v>
      </c>
      <c r="V216" s="11">
        <v>45920</v>
      </c>
      <c r="W216" s="11">
        <v>0.7923958333333333</v>
      </c>
      <c r="X216" s="5">
        <f t="shared" si="30"/>
        <v>9</v>
      </c>
      <c r="Y216" s="5">
        <f t="shared" si="34"/>
        <v>38</v>
      </c>
      <c r="Z216" s="5">
        <f t="shared" si="35"/>
        <v>20</v>
      </c>
      <c r="AA216" s="5">
        <f t="shared" si="36"/>
        <v>7</v>
      </c>
      <c r="AB216" s="5" t="str">
        <f t="shared" si="37"/>
        <v>19 - 20 hr</v>
      </c>
      <c r="AC216" s="5" t="s">
        <v>48</v>
      </c>
      <c r="AD216" s="11"/>
      <c r="AE216" s="11"/>
      <c r="AF216" s="5" t="s">
        <v>18</v>
      </c>
      <c r="AG216" s="5" t="s">
        <v>18</v>
      </c>
      <c r="AH216" s="5" t="s">
        <v>49</v>
      </c>
      <c r="AI216" s="5">
        <v>8724932977</v>
      </c>
      <c r="AJ216" s="5" t="s">
        <v>146</v>
      </c>
      <c r="AK216" s="5" t="s">
        <v>147</v>
      </c>
      <c r="AL216" s="5" t="s">
        <v>33</v>
      </c>
      <c r="AM216" s="5" t="s">
        <v>86</v>
      </c>
      <c r="AN216" s="5">
        <v>4</v>
      </c>
      <c r="AO216" s="5" t="s">
        <v>34</v>
      </c>
      <c r="AP216" s="5" t="s">
        <v>35</v>
      </c>
      <c r="AQ216" s="5" t="str">
        <f t="shared" si="31"/>
        <v>Issue_pending</v>
      </c>
      <c r="AR216" s="5" t="str">
        <f t="shared" si="32"/>
        <v>Issue_pending</v>
      </c>
      <c r="AS216" s="5" t="str">
        <f t="shared" si="33"/>
        <v>Issue_pending</v>
      </c>
      <c r="AT216" s="5">
        <f t="shared" ca="1" si="38"/>
        <v>10</v>
      </c>
      <c r="AU216" s="5" t="str">
        <f t="shared" ca="1" si="39"/>
        <v>8-20 days</v>
      </c>
    </row>
    <row r="217" spans="1:60" x14ac:dyDescent="0.3">
      <c r="A217" s="5">
        <v>75979196799</v>
      </c>
      <c r="B217" s="6">
        <v>45886</v>
      </c>
      <c r="C217" s="11">
        <v>0.39043981481481482</v>
      </c>
      <c r="D217" s="5"/>
      <c r="E217" s="11"/>
      <c r="F217" s="11"/>
      <c r="G217" s="5" t="s">
        <v>18</v>
      </c>
      <c r="H217" s="5" t="s">
        <v>18</v>
      </c>
      <c r="I217" s="5" t="s">
        <v>49</v>
      </c>
      <c r="J217" s="5">
        <v>9799264931</v>
      </c>
      <c r="K217" s="5" t="s">
        <v>68</v>
      </c>
      <c r="L217" s="5" t="s">
        <v>69</v>
      </c>
      <c r="M217" s="5" t="s">
        <v>22</v>
      </c>
      <c r="N217" s="5" t="s">
        <v>52</v>
      </c>
      <c r="O217" s="5">
        <v>7</v>
      </c>
      <c r="P217" s="5" t="s">
        <v>34</v>
      </c>
      <c r="Q217" s="5" t="s">
        <v>60</v>
      </c>
      <c r="U217" s="5">
        <v>75819246503</v>
      </c>
      <c r="V217" s="11">
        <v>45920</v>
      </c>
      <c r="W217" s="11">
        <v>0.66851851851851851</v>
      </c>
      <c r="X217" s="5">
        <f t="shared" si="30"/>
        <v>9</v>
      </c>
      <c r="Y217" s="5">
        <f t="shared" si="34"/>
        <v>38</v>
      </c>
      <c r="Z217" s="5">
        <f t="shared" si="35"/>
        <v>20</v>
      </c>
      <c r="AA217" s="5">
        <f t="shared" si="36"/>
        <v>7</v>
      </c>
      <c r="AB217" s="5" t="str">
        <f t="shared" si="37"/>
        <v>16 - 17 hr</v>
      </c>
      <c r="AC217" s="5" t="s">
        <v>55</v>
      </c>
      <c r="AD217" s="11"/>
      <c r="AE217" s="11"/>
      <c r="AF217" s="5" t="s">
        <v>18</v>
      </c>
      <c r="AG217" s="5" t="s">
        <v>18</v>
      </c>
      <c r="AH217" s="5" t="s">
        <v>49</v>
      </c>
      <c r="AI217" s="5">
        <v>8603321558</v>
      </c>
      <c r="AJ217" s="5" t="s">
        <v>192</v>
      </c>
      <c r="AK217" s="5" t="s">
        <v>193</v>
      </c>
      <c r="AL217" s="5" t="s">
        <v>22</v>
      </c>
      <c r="AM217" s="5" t="s">
        <v>52</v>
      </c>
      <c r="AN217" s="5">
        <v>6</v>
      </c>
      <c r="AO217" s="5" t="s">
        <v>34</v>
      </c>
      <c r="AP217" s="5" t="s">
        <v>35</v>
      </c>
      <c r="AQ217" s="5" t="str">
        <f t="shared" si="31"/>
        <v>Issue_pending</v>
      </c>
      <c r="AR217" s="5" t="str">
        <f t="shared" si="32"/>
        <v>Issue_pending</v>
      </c>
      <c r="AS217" s="5" t="str">
        <f t="shared" si="33"/>
        <v>Issue_pending</v>
      </c>
      <c r="AT217" s="5">
        <f t="shared" ca="1" si="38"/>
        <v>10</v>
      </c>
      <c r="AU217" s="5" t="str">
        <f t="shared" ca="1" si="39"/>
        <v>8-20 days</v>
      </c>
    </row>
    <row r="218" spans="1:60" x14ac:dyDescent="0.3">
      <c r="A218" s="5">
        <v>75982101860</v>
      </c>
      <c r="B218" s="6">
        <v>45914</v>
      </c>
      <c r="C218" s="11">
        <v>0.54966435185185181</v>
      </c>
      <c r="D218" s="5" t="s">
        <v>43</v>
      </c>
      <c r="E218" s="11">
        <v>45924</v>
      </c>
      <c r="F218" s="11">
        <v>0.75666666666666671</v>
      </c>
      <c r="G218" s="5" t="s">
        <v>18</v>
      </c>
      <c r="H218" s="5" t="s">
        <v>18</v>
      </c>
      <c r="I218" s="5" t="s">
        <v>36</v>
      </c>
      <c r="J218" s="5">
        <v>7387652480</v>
      </c>
      <c r="K218" s="5" t="s">
        <v>361</v>
      </c>
      <c r="L218" s="5" t="s">
        <v>41</v>
      </c>
      <c r="M218" s="5" t="s">
        <v>82</v>
      </c>
      <c r="N218" s="5" t="s">
        <v>42</v>
      </c>
      <c r="O218" s="5">
        <v>6</v>
      </c>
      <c r="P218" s="5" t="s">
        <v>24</v>
      </c>
      <c r="Q218" s="5" t="s">
        <v>25</v>
      </c>
      <c r="U218" s="5">
        <v>75520483278</v>
      </c>
      <c r="V218" s="11">
        <v>45920</v>
      </c>
      <c r="W218" s="11">
        <v>0.41221064814814817</v>
      </c>
      <c r="X218" s="5">
        <f t="shared" si="30"/>
        <v>9</v>
      </c>
      <c r="Y218" s="5">
        <f t="shared" si="34"/>
        <v>38</v>
      </c>
      <c r="Z218" s="5">
        <f t="shared" si="35"/>
        <v>20</v>
      </c>
      <c r="AA218" s="5">
        <f t="shared" si="36"/>
        <v>7</v>
      </c>
      <c r="AB218" s="5" t="str">
        <f t="shared" si="37"/>
        <v>9 - 10 hr</v>
      </c>
      <c r="AC218" s="5" t="s">
        <v>46</v>
      </c>
      <c r="AD218" s="11">
        <v>45928</v>
      </c>
      <c r="AE218" s="11">
        <v>0.73984953703703704</v>
      </c>
      <c r="AF218" s="5" t="s">
        <v>18</v>
      </c>
      <c r="AG218" s="5" t="s">
        <v>18</v>
      </c>
      <c r="AH218" s="5" t="s">
        <v>36</v>
      </c>
      <c r="AI218" s="5">
        <v>7868256753</v>
      </c>
      <c r="AJ218" s="5" t="s">
        <v>254</v>
      </c>
      <c r="AK218" s="5" t="s">
        <v>62</v>
      </c>
      <c r="AL218" s="5" t="s">
        <v>22</v>
      </c>
      <c r="AM218" s="5" t="s">
        <v>63</v>
      </c>
      <c r="AN218" s="5">
        <v>2</v>
      </c>
      <c r="AO218" s="5" t="s">
        <v>24</v>
      </c>
      <c r="AP218" s="5" t="s">
        <v>25</v>
      </c>
      <c r="AQ218" s="5">
        <f t="shared" si="31"/>
        <v>199.86333333340008</v>
      </c>
      <c r="AR218" s="5">
        <f t="shared" si="32"/>
        <v>8.33</v>
      </c>
      <c r="AS218" s="5" t="str">
        <f t="shared" si="33"/>
        <v>9-12 days</v>
      </c>
      <c r="AT218" s="5" t="str">
        <f t="shared" ca="1" si="38"/>
        <v>STATUS-COMPLETE</v>
      </c>
      <c r="AU218" s="5" t="str">
        <f t="shared" ca="1" si="39"/>
        <v>STATUS-COMPLETE</v>
      </c>
    </row>
    <row r="219" spans="1:60" x14ac:dyDescent="0.3">
      <c r="A219" s="5">
        <v>75985698675</v>
      </c>
      <c r="B219" s="6">
        <v>45921</v>
      </c>
      <c r="C219" s="11">
        <v>0.55562500000000004</v>
      </c>
      <c r="D219" s="5" t="s">
        <v>17</v>
      </c>
      <c r="E219" s="11">
        <v>45928</v>
      </c>
      <c r="F219" s="11">
        <v>0.43585648148148148</v>
      </c>
      <c r="G219" s="5" t="s">
        <v>18</v>
      </c>
      <c r="H219" s="5" t="s">
        <v>18</v>
      </c>
      <c r="I219" s="5" t="s">
        <v>36</v>
      </c>
      <c r="J219" s="5">
        <v>8408405265</v>
      </c>
      <c r="K219" s="5" t="s">
        <v>199</v>
      </c>
      <c r="L219" s="5" t="s">
        <v>200</v>
      </c>
      <c r="M219" s="5" t="s">
        <v>82</v>
      </c>
      <c r="N219" s="5" t="s">
        <v>39</v>
      </c>
      <c r="O219" s="5">
        <v>7</v>
      </c>
      <c r="P219" s="5" t="s">
        <v>24</v>
      </c>
      <c r="Q219" s="5" t="s">
        <v>25</v>
      </c>
      <c r="U219" s="5">
        <v>75796287154</v>
      </c>
      <c r="V219" s="11">
        <v>45920</v>
      </c>
      <c r="W219" s="11">
        <v>0.68842592592592589</v>
      </c>
      <c r="X219" s="5">
        <f t="shared" si="30"/>
        <v>9</v>
      </c>
      <c r="Y219" s="5">
        <f t="shared" si="34"/>
        <v>38</v>
      </c>
      <c r="Z219" s="5">
        <f t="shared" si="35"/>
        <v>20</v>
      </c>
      <c r="AA219" s="5">
        <f t="shared" si="36"/>
        <v>7</v>
      </c>
      <c r="AB219" s="5" t="str">
        <f t="shared" si="37"/>
        <v>16 - 17 hr</v>
      </c>
      <c r="AC219" s="5" t="s">
        <v>58</v>
      </c>
      <c r="AD219" s="11"/>
      <c r="AE219" s="11"/>
      <c r="AF219" s="5" t="s">
        <v>18</v>
      </c>
      <c r="AG219" s="5" t="s">
        <v>18</v>
      </c>
      <c r="AH219" s="5" t="s">
        <v>19</v>
      </c>
      <c r="AI219" s="5">
        <v>7010621799</v>
      </c>
      <c r="AJ219" s="5" t="s">
        <v>318</v>
      </c>
      <c r="AK219" s="5" t="s">
        <v>319</v>
      </c>
      <c r="AL219" s="5" t="s">
        <v>29</v>
      </c>
      <c r="AM219" s="5" t="s">
        <v>23</v>
      </c>
      <c r="AN219" s="5">
        <v>3</v>
      </c>
      <c r="AO219" s="5" t="s">
        <v>34</v>
      </c>
      <c r="AP219" s="5" t="s">
        <v>67</v>
      </c>
      <c r="AQ219" s="5" t="str">
        <f t="shared" si="31"/>
        <v>Issue_pending</v>
      </c>
      <c r="AR219" s="5" t="str">
        <f t="shared" si="32"/>
        <v>Issue_pending</v>
      </c>
      <c r="AS219" s="5" t="str">
        <f t="shared" si="33"/>
        <v>Issue_pending</v>
      </c>
      <c r="AT219" s="5">
        <f t="shared" ca="1" si="38"/>
        <v>10</v>
      </c>
      <c r="AU219" s="5" t="str">
        <f t="shared" ca="1" si="39"/>
        <v>8-20 days</v>
      </c>
      <c r="BC219" s="65" t="s">
        <v>503</v>
      </c>
      <c r="BD219" s="65" t="s">
        <v>393</v>
      </c>
      <c r="BE219" s="5"/>
      <c r="BF219" s="5"/>
      <c r="BG219" s="5"/>
      <c r="BH219" s="5"/>
    </row>
    <row r="220" spans="1:60" x14ac:dyDescent="0.3">
      <c r="A220" s="5">
        <v>75988343096</v>
      </c>
      <c r="B220" s="6">
        <v>45913</v>
      </c>
      <c r="C220" s="11">
        <v>0.38840277777777776</v>
      </c>
      <c r="D220" s="5" t="s">
        <v>26</v>
      </c>
      <c r="E220" s="11">
        <v>45916</v>
      </c>
      <c r="F220" s="11">
        <v>0.77521990740740743</v>
      </c>
      <c r="G220" s="5" t="s">
        <v>18</v>
      </c>
      <c r="H220" s="5" t="s">
        <v>18</v>
      </c>
      <c r="I220" s="5" t="s">
        <v>36</v>
      </c>
      <c r="J220" s="5">
        <v>8846355528</v>
      </c>
      <c r="K220" s="5" t="s">
        <v>37</v>
      </c>
      <c r="L220" s="5" t="s">
        <v>38</v>
      </c>
      <c r="M220" s="5" t="s">
        <v>29</v>
      </c>
      <c r="N220" s="5" t="s">
        <v>39</v>
      </c>
      <c r="O220" s="5">
        <v>1</v>
      </c>
      <c r="P220" s="5" t="s">
        <v>24</v>
      </c>
      <c r="Q220" s="5" t="s">
        <v>25</v>
      </c>
      <c r="U220" s="5">
        <v>75513424523</v>
      </c>
      <c r="V220" s="11">
        <v>45920</v>
      </c>
      <c r="W220" s="11">
        <v>0.78409722222222222</v>
      </c>
      <c r="X220" s="5">
        <f t="shared" si="30"/>
        <v>9</v>
      </c>
      <c r="Y220" s="5">
        <f t="shared" si="34"/>
        <v>38</v>
      </c>
      <c r="Z220" s="5">
        <f t="shared" si="35"/>
        <v>20</v>
      </c>
      <c r="AA220" s="5">
        <f t="shared" si="36"/>
        <v>7</v>
      </c>
      <c r="AB220" s="5" t="str">
        <f t="shared" si="37"/>
        <v>18 - 19 hr</v>
      </c>
      <c r="AC220" s="5" t="s">
        <v>30</v>
      </c>
      <c r="AD220" s="11">
        <v>45927</v>
      </c>
      <c r="AE220" s="11">
        <v>0.46500000000000002</v>
      </c>
      <c r="AF220" s="5" t="s">
        <v>18</v>
      </c>
      <c r="AG220" s="5" t="s">
        <v>18</v>
      </c>
      <c r="AH220" s="5" t="s">
        <v>19</v>
      </c>
      <c r="AI220" s="5">
        <v>9300528259</v>
      </c>
      <c r="AJ220" s="5" t="s">
        <v>381</v>
      </c>
      <c r="AK220" s="5" t="s">
        <v>324</v>
      </c>
      <c r="AL220" s="5" t="s">
        <v>22</v>
      </c>
      <c r="AM220" s="5" t="s">
        <v>63</v>
      </c>
      <c r="AN220" s="5">
        <v>8</v>
      </c>
      <c r="AO220" s="5" t="s">
        <v>24</v>
      </c>
      <c r="AP220" s="5" t="s">
        <v>25</v>
      </c>
      <c r="AQ220" s="5">
        <f t="shared" si="31"/>
        <v>160.3416666664998</v>
      </c>
      <c r="AR220" s="5">
        <f t="shared" si="32"/>
        <v>6.68</v>
      </c>
      <c r="AS220" s="5" t="str">
        <f t="shared" si="33"/>
        <v>5-8 days</v>
      </c>
      <c r="AT220" s="5" t="str">
        <f t="shared" ca="1" si="38"/>
        <v>STATUS-COMPLETE</v>
      </c>
      <c r="AU220" s="5" t="str">
        <f t="shared" ca="1" si="39"/>
        <v>STATUS-COMPLETE</v>
      </c>
      <c r="BC220" s="65" t="s">
        <v>391</v>
      </c>
      <c r="BD220" s="5" t="s">
        <v>36</v>
      </c>
      <c r="BE220" s="5" t="s">
        <v>49</v>
      </c>
      <c r="BF220" s="5" t="s">
        <v>27</v>
      </c>
      <c r="BG220" s="5" t="s">
        <v>19</v>
      </c>
      <c r="BH220" s="5" t="s">
        <v>392</v>
      </c>
    </row>
    <row r="221" spans="1:60" x14ac:dyDescent="0.3">
      <c r="A221" s="5">
        <v>75990404558</v>
      </c>
      <c r="B221" s="6">
        <v>45905</v>
      </c>
      <c r="C221" s="11">
        <v>0.57822916666666668</v>
      </c>
      <c r="D221" s="5" t="s">
        <v>58</v>
      </c>
      <c r="E221" s="11">
        <v>45914</v>
      </c>
      <c r="F221" s="11">
        <v>0.54472222222222222</v>
      </c>
      <c r="G221" s="5" t="s">
        <v>18</v>
      </c>
      <c r="H221" s="5" t="s">
        <v>18</v>
      </c>
      <c r="I221" s="5" t="s">
        <v>49</v>
      </c>
      <c r="J221" s="5">
        <v>7510289448</v>
      </c>
      <c r="K221" s="5" t="s">
        <v>227</v>
      </c>
      <c r="L221" s="5" t="s">
        <v>145</v>
      </c>
      <c r="M221" s="5" t="s">
        <v>29</v>
      </c>
      <c r="N221" s="5" t="s">
        <v>52</v>
      </c>
      <c r="O221" s="5">
        <v>2</v>
      </c>
      <c r="P221" s="5" t="s">
        <v>24</v>
      </c>
      <c r="Q221" s="5" t="s">
        <v>25</v>
      </c>
      <c r="U221" s="5">
        <v>75771048258</v>
      </c>
      <c r="V221" s="11">
        <v>45921</v>
      </c>
      <c r="W221" s="11">
        <v>0.7636574074074074</v>
      </c>
      <c r="X221" s="5">
        <f t="shared" si="30"/>
        <v>9</v>
      </c>
      <c r="Y221" s="5">
        <f t="shared" si="34"/>
        <v>39</v>
      </c>
      <c r="Z221" s="5">
        <f t="shared" si="35"/>
        <v>21</v>
      </c>
      <c r="AA221" s="5">
        <f t="shared" si="36"/>
        <v>1</v>
      </c>
      <c r="AB221" s="5" t="str">
        <f t="shared" si="37"/>
        <v>18 - 19 hr</v>
      </c>
      <c r="AC221" s="5" t="s">
        <v>55</v>
      </c>
      <c r="AD221" s="11">
        <v>45926</v>
      </c>
      <c r="AE221" s="11">
        <v>0.71532407407407406</v>
      </c>
      <c r="AF221" s="5" t="s">
        <v>18</v>
      </c>
      <c r="AG221" s="5" t="s">
        <v>18</v>
      </c>
      <c r="AH221" s="5" t="s">
        <v>49</v>
      </c>
      <c r="AI221" s="5">
        <v>9964873967</v>
      </c>
      <c r="AJ221" s="5" t="s">
        <v>126</v>
      </c>
      <c r="AK221" s="5" t="s">
        <v>101</v>
      </c>
      <c r="AL221" s="5" t="s">
        <v>29</v>
      </c>
      <c r="AM221" s="5" t="s">
        <v>102</v>
      </c>
      <c r="AN221" s="5">
        <v>7</v>
      </c>
      <c r="AO221" s="5" t="s">
        <v>24</v>
      </c>
      <c r="AP221" s="5" t="s">
        <v>25</v>
      </c>
      <c r="AQ221" s="5">
        <f t="shared" si="31"/>
        <v>118.84000000002561</v>
      </c>
      <c r="AR221" s="5">
        <f t="shared" si="32"/>
        <v>4.95</v>
      </c>
      <c r="AS221" s="5" t="str">
        <f t="shared" si="33"/>
        <v>5-8 days</v>
      </c>
      <c r="AT221" s="5" t="str">
        <f t="shared" ca="1" si="38"/>
        <v>STATUS-COMPLETE</v>
      </c>
      <c r="AU221" s="5" t="str">
        <f t="shared" ca="1" si="39"/>
        <v>STATUS-COMPLETE</v>
      </c>
      <c r="BC221" s="36" t="s">
        <v>33</v>
      </c>
      <c r="BD221" s="11">
        <v>7.8780000000000019</v>
      </c>
      <c r="BE221" s="11">
        <v>7.3258333333333319</v>
      </c>
      <c r="BF221" s="11">
        <v>7.5530769230769215</v>
      </c>
      <c r="BG221" s="11">
        <v>5.586666666666666</v>
      </c>
      <c r="BH221" s="11">
        <v>7.1947222222222216</v>
      </c>
    </row>
    <row r="222" spans="1:60" x14ac:dyDescent="0.3">
      <c r="A222" s="5">
        <v>75990554938</v>
      </c>
      <c r="B222" s="6">
        <v>45915</v>
      </c>
      <c r="C222" s="11">
        <v>0.72149305555555554</v>
      </c>
      <c r="D222" s="5" t="s">
        <v>30</v>
      </c>
      <c r="E222" s="11">
        <v>45917</v>
      </c>
      <c r="F222" s="11">
        <v>0.61275462962962968</v>
      </c>
      <c r="G222" s="5" t="s">
        <v>18</v>
      </c>
      <c r="H222" s="5" t="s">
        <v>18</v>
      </c>
      <c r="I222" s="5" t="s">
        <v>27</v>
      </c>
      <c r="J222" s="5">
        <v>7676479877</v>
      </c>
      <c r="K222" s="5" t="s">
        <v>209</v>
      </c>
      <c r="L222" s="5" t="s">
        <v>210</v>
      </c>
      <c r="M222" s="5" t="s">
        <v>22</v>
      </c>
      <c r="N222" s="5" t="s">
        <v>142</v>
      </c>
      <c r="O222" s="5">
        <v>7</v>
      </c>
      <c r="P222" s="5" t="s">
        <v>24</v>
      </c>
      <c r="Q222" s="5" t="s">
        <v>25</v>
      </c>
      <c r="U222" s="5">
        <v>75941755366</v>
      </c>
      <c r="V222" s="11">
        <v>45921</v>
      </c>
      <c r="W222" s="11">
        <v>0.79932870370370368</v>
      </c>
      <c r="X222" s="5">
        <f t="shared" si="30"/>
        <v>9</v>
      </c>
      <c r="Y222" s="5">
        <f t="shared" si="34"/>
        <v>39</v>
      </c>
      <c r="Z222" s="5">
        <f t="shared" si="35"/>
        <v>21</v>
      </c>
      <c r="AA222" s="5">
        <f t="shared" si="36"/>
        <v>1</v>
      </c>
      <c r="AB222" s="5" t="str">
        <f t="shared" si="37"/>
        <v>19 - 20 hr</v>
      </c>
      <c r="AC222" s="5" t="s">
        <v>26</v>
      </c>
      <c r="AD222" s="11"/>
      <c r="AE222" s="11"/>
      <c r="AF222" s="5" t="s">
        <v>18</v>
      </c>
      <c r="AG222" s="5" t="s">
        <v>18</v>
      </c>
      <c r="AH222" s="5" t="s">
        <v>19</v>
      </c>
      <c r="AI222" s="5">
        <v>8880157459</v>
      </c>
      <c r="AJ222" s="5" t="s">
        <v>173</v>
      </c>
      <c r="AK222" s="5" t="s">
        <v>174</v>
      </c>
      <c r="AL222" s="5" t="s">
        <v>22</v>
      </c>
      <c r="AM222" s="5" t="s">
        <v>63</v>
      </c>
      <c r="AN222" s="5">
        <v>4</v>
      </c>
      <c r="AO222" s="5" t="s">
        <v>34</v>
      </c>
      <c r="AP222" s="5" t="s">
        <v>60</v>
      </c>
      <c r="AQ222" s="5" t="str">
        <f t="shared" si="31"/>
        <v>Issue_pending</v>
      </c>
      <c r="AR222" s="5" t="str">
        <f t="shared" si="32"/>
        <v>Issue_pending</v>
      </c>
      <c r="AS222" s="5" t="str">
        <f t="shared" si="33"/>
        <v>Issue_pending</v>
      </c>
      <c r="AT222" s="5">
        <f t="shared" ca="1" si="38"/>
        <v>9</v>
      </c>
      <c r="AU222" s="5" t="str">
        <f t="shared" ca="1" si="39"/>
        <v>8-20 days</v>
      </c>
      <c r="BC222" s="36" t="s">
        <v>82</v>
      </c>
      <c r="BD222" s="11">
        <v>7.3914285714285715</v>
      </c>
      <c r="BE222" s="11">
        <v>6.6133333333333333</v>
      </c>
      <c r="BF222" s="11">
        <v>6.8814285714285708</v>
      </c>
      <c r="BG222" s="11">
        <v>7.41</v>
      </c>
      <c r="BH222" s="11">
        <v>6.8973684210526303</v>
      </c>
    </row>
    <row r="223" spans="1:60" x14ac:dyDescent="0.3">
      <c r="A223" s="5">
        <v>75991991695</v>
      </c>
      <c r="B223" s="6">
        <v>45899</v>
      </c>
      <c r="C223" s="11">
        <v>0.87167824074074074</v>
      </c>
      <c r="D223" s="5" t="s">
        <v>55</v>
      </c>
      <c r="E223" s="11">
        <v>45906</v>
      </c>
      <c r="F223" s="11">
        <v>0.45189814814814816</v>
      </c>
      <c r="G223" s="5" t="s">
        <v>18</v>
      </c>
      <c r="H223" s="5" t="s">
        <v>18</v>
      </c>
      <c r="I223" s="5" t="s">
        <v>27</v>
      </c>
      <c r="J223" s="5">
        <v>8939413575</v>
      </c>
      <c r="K223" s="5" t="s">
        <v>149</v>
      </c>
      <c r="L223" s="5" t="s">
        <v>150</v>
      </c>
      <c r="M223" s="5" t="s">
        <v>22</v>
      </c>
      <c r="N223" s="5" t="s">
        <v>76</v>
      </c>
      <c r="O223" s="5">
        <v>1</v>
      </c>
      <c r="P223" s="5" t="s">
        <v>24</v>
      </c>
      <c r="Q223" s="5" t="s">
        <v>25</v>
      </c>
      <c r="U223" s="5">
        <v>75985698675</v>
      </c>
      <c r="V223" s="11">
        <v>45921</v>
      </c>
      <c r="W223" s="11">
        <v>0.55562500000000004</v>
      </c>
      <c r="X223" s="5">
        <f t="shared" si="30"/>
        <v>9</v>
      </c>
      <c r="Y223" s="5">
        <f t="shared" si="34"/>
        <v>39</v>
      </c>
      <c r="Z223" s="5">
        <f t="shared" si="35"/>
        <v>21</v>
      </c>
      <c r="AA223" s="5">
        <f t="shared" si="36"/>
        <v>1</v>
      </c>
      <c r="AB223" s="5" t="str">
        <f t="shared" si="37"/>
        <v>13 - 14 hr</v>
      </c>
      <c r="AC223" s="5" t="s">
        <v>17</v>
      </c>
      <c r="AD223" s="11">
        <v>45928</v>
      </c>
      <c r="AE223" s="11">
        <v>0.43585648148148148</v>
      </c>
      <c r="AF223" s="5" t="s">
        <v>18</v>
      </c>
      <c r="AG223" s="5" t="s">
        <v>18</v>
      </c>
      <c r="AH223" s="5" t="s">
        <v>36</v>
      </c>
      <c r="AI223" s="5">
        <v>8408405265</v>
      </c>
      <c r="AJ223" s="5" t="s">
        <v>199</v>
      </c>
      <c r="AK223" s="5" t="s">
        <v>200</v>
      </c>
      <c r="AL223" s="5" t="s">
        <v>82</v>
      </c>
      <c r="AM223" s="5" t="s">
        <v>39</v>
      </c>
      <c r="AN223" s="5">
        <v>7</v>
      </c>
      <c r="AO223" s="5" t="s">
        <v>24</v>
      </c>
      <c r="AP223" s="5" t="s">
        <v>25</v>
      </c>
      <c r="AQ223" s="5">
        <f t="shared" si="31"/>
        <v>165.12555555556901</v>
      </c>
      <c r="AR223" s="5">
        <f t="shared" si="32"/>
        <v>6.88</v>
      </c>
      <c r="AS223" s="5" t="str">
        <f t="shared" si="33"/>
        <v>5-8 days</v>
      </c>
      <c r="AT223" s="5" t="str">
        <f t="shared" ca="1" si="38"/>
        <v>STATUS-COMPLETE</v>
      </c>
      <c r="AU223" s="5" t="str">
        <f t="shared" ca="1" si="39"/>
        <v>STATUS-COMPLETE</v>
      </c>
      <c r="BC223" s="36" t="s">
        <v>29</v>
      </c>
      <c r="BD223" s="11">
        <v>6.9487499999999995</v>
      </c>
      <c r="BE223" s="11">
        <v>6.6906249999999998</v>
      </c>
      <c r="BF223" s="11">
        <v>6.769333333333333</v>
      </c>
      <c r="BG223" s="11">
        <v>7.6319999999999997</v>
      </c>
      <c r="BH223" s="11">
        <v>6.871363636363637</v>
      </c>
    </row>
    <row r="224" spans="1:60" x14ac:dyDescent="0.3">
      <c r="A224" s="5">
        <v>75993634042</v>
      </c>
      <c r="B224" s="6">
        <v>45900</v>
      </c>
      <c r="C224" s="11">
        <v>0.86644675925925929</v>
      </c>
      <c r="D224" s="5" t="s">
        <v>55</v>
      </c>
      <c r="E224" s="11">
        <v>45903</v>
      </c>
      <c r="F224" s="11">
        <v>0.49993055555555554</v>
      </c>
      <c r="G224" s="5" t="s">
        <v>18</v>
      </c>
      <c r="H224" s="5" t="s">
        <v>18</v>
      </c>
      <c r="I224" s="5" t="s">
        <v>27</v>
      </c>
      <c r="J224" s="5">
        <v>7964285941</v>
      </c>
      <c r="K224" s="5" t="s">
        <v>339</v>
      </c>
      <c r="L224" s="5" t="s">
        <v>340</v>
      </c>
      <c r="M224" s="5" t="s">
        <v>22</v>
      </c>
      <c r="N224" s="5" t="s">
        <v>76</v>
      </c>
      <c r="O224" s="5">
        <v>5</v>
      </c>
      <c r="P224" s="5" t="s">
        <v>24</v>
      </c>
      <c r="Q224" s="5" t="s">
        <v>25</v>
      </c>
      <c r="U224" s="5">
        <v>75633969748</v>
      </c>
      <c r="V224" s="11">
        <v>45921</v>
      </c>
      <c r="W224" s="11">
        <v>0.75280092592592596</v>
      </c>
      <c r="X224" s="5">
        <f t="shared" si="30"/>
        <v>9</v>
      </c>
      <c r="Y224" s="5">
        <f t="shared" si="34"/>
        <v>39</v>
      </c>
      <c r="Z224" s="5">
        <f t="shared" si="35"/>
        <v>21</v>
      </c>
      <c r="AA224" s="5">
        <f t="shared" si="36"/>
        <v>1</v>
      </c>
      <c r="AB224" s="5" t="str">
        <f t="shared" si="37"/>
        <v>18 - 19 hr</v>
      </c>
      <c r="AC224" s="5" t="s">
        <v>55</v>
      </c>
      <c r="AD224" s="11">
        <v>45922</v>
      </c>
      <c r="AE224" s="11">
        <v>0.63671296296296298</v>
      </c>
      <c r="AF224" s="5" t="s">
        <v>18</v>
      </c>
      <c r="AG224" s="5" t="s">
        <v>18</v>
      </c>
      <c r="AH224" s="5" t="s">
        <v>49</v>
      </c>
      <c r="AI224" s="5">
        <v>8479740208</v>
      </c>
      <c r="AJ224" s="5" t="s">
        <v>256</v>
      </c>
      <c r="AK224" s="5" t="s">
        <v>65</v>
      </c>
      <c r="AL224" s="5" t="s">
        <v>22</v>
      </c>
      <c r="AM224" s="5" t="s">
        <v>66</v>
      </c>
      <c r="AN224" s="5">
        <v>4</v>
      </c>
      <c r="AO224" s="5" t="s">
        <v>24</v>
      </c>
      <c r="AP224" s="5" t="s">
        <v>25</v>
      </c>
      <c r="AQ224" s="5">
        <f t="shared" si="31"/>
        <v>21.213888888945803</v>
      </c>
      <c r="AR224" s="5">
        <f t="shared" si="32"/>
        <v>0.88</v>
      </c>
      <c r="AS224" s="5" t="str">
        <f t="shared" si="33"/>
        <v>1-4 days</v>
      </c>
      <c r="AT224" s="5" t="str">
        <f t="shared" ca="1" si="38"/>
        <v>STATUS-COMPLETE</v>
      </c>
      <c r="AU224" s="5" t="str">
        <f t="shared" ca="1" si="39"/>
        <v>STATUS-COMPLETE</v>
      </c>
      <c r="BC224" s="36" t="s">
        <v>22</v>
      </c>
      <c r="BD224" s="11">
        <v>8.0166666666666657</v>
      </c>
      <c r="BE224" s="11">
        <v>7.1479999999999988</v>
      </c>
      <c r="BF224" s="11">
        <v>5.1083333333333334</v>
      </c>
      <c r="BG224" s="11">
        <v>5.1100000000000003</v>
      </c>
      <c r="BH224" s="11">
        <v>6.0547500000000003</v>
      </c>
    </row>
    <row r="225" spans="1:60" x14ac:dyDescent="0.3">
      <c r="A225" s="5">
        <v>75993877361</v>
      </c>
      <c r="B225" s="6">
        <v>45888</v>
      </c>
      <c r="C225" s="11">
        <v>0.66693287037037041</v>
      </c>
      <c r="D225" s="5" t="s">
        <v>26</v>
      </c>
      <c r="E225" s="11"/>
      <c r="F225" s="11"/>
      <c r="G225" s="5" t="s">
        <v>18</v>
      </c>
      <c r="H225" s="5" t="s">
        <v>18</v>
      </c>
      <c r="I225" s="5" t="s">
        <v>27</v>
      </c>
      <c r="J225" s="5">
        <v>8252391379</v>
      </c>
      <c r="K225" s="5" t="s">
        <v>343</v>
      </c>
      <c r="L225" s="5" t="s">
        <v>233</v>
      </c>
      <c r="M225" s="5" t="s">
        <v>33</v>
      </c>
      <c r="N225" s="5" t="s">
        <v>94</v>
      </c>
      <c r="O225" s="5">
        <v>4</v>
      </c>
      <c r="P225" s="5" t="s">
        <v>34</v>
      </c>
      <c r="Q225" s="5" t="s">
        <v>60</v>
      </c>
      <c r="U225" s="5">
        <v>75611606895</v>
      </c>
      <c r="V225" s="11">
        <v>45921</v>
      </c>
      <c r="W225" s="11">
        <v>0.67171296296296301</v>
      </c>
      <c r="X225" s="5">
        <f t="shared" si="30"/>
        <v>9</v>
      </c>
      <c r="Y225" s="5">
        <f t="shared" si="34"/>
        <v>39</v>
      </c>
      <c r="Z225" s="5">
        <f t="shared" si="35"/>
        <v>21</v>
      </c>
      <c r="AA225" s="5">
        <f t="shared" si="36"/>
        <v>1</v>
      </c>
      <c r="AB225" s="5" t="str">
        <f t="shared" si="37"/>
        <v>16 - 17 hr</v>
      </c>
      <c r="AC225" s="5" t="s">
        <v>48</v>
      </c>
      <c r="AD225" s="11"/>
      <c r="AE225" s="11"/>
      <c r="AF225" s="5" t="s">
        <v>18</v>
      </c>
      <c r="AG225" s="5" t="s">
        <v>18</v>
      </c>
      <c r="AH225" s="5" t="s">
        <v>19</v>
      </c>
      <c r="AI225" s="5">
        <v>9266518721</v>
      </c>
      <c r="AJ225" s="5" t="s">
        <v>305</v>
      </c>
      <c r="AK225" s="5" t="s">
        <v>306</v>
      </c>
      <c r="AL225" s="5" t="s">
        <v>33</v>
      </c>
      <c r="AM225" s="5" t="s">
        <v>94</v>
      </c>
      <c r="AN225" s="5">
        <v>5</v>
      </c>
      <c r="AO225" s="5" t="s">
        <v>34</v>
      </c>
      <c r="AP225" s="5" t="s">
        <v>67</v>
      </c>
      <c r="AQ225" s="5" t="str">
        <f t="shared" si="31"/>
        <v>Issue_pending</v>
      </c>
      <c r="AR225" s="5" t="str">
        <f t="shared" si="32"/>
        <v>Issue_pending</v>
      </c>
      <c r="AS225" s="5" t="str">
        <f t="shared" si="33"/>
        <v>Issue_pending</v>
      </c>
      <c r="AT225" s="5">
        <f t="shared" ca="1" si="38"/>
        <v>9</v>
      </c>
      <c r="AU225" s="5" t="str">
        <f t="shared" ca="1" si="39"/>
        <v>8-20 days</v>
      </c>
      <c r="BC225" s="36" t="s">
        <v>392</v>
      </c>
      <c r="BD225" s="11">
        <v>7.4930769230769219</v>
      </c>
      <c r="BE225" s="11">
        <v>6.8988679245283029</v>
      </c>
      <c r="BF225" s="11">
        <v>6.4669999999999996</v>
      </c>
      <c r="BG225" s="11">
        <v>6.1663157894736838</v>
      </c>
      <c r="BH225" s="11">
        <v>6.7445569620253156</v>
      </c>
    </row>
    <row r="226" spans="1:60" x14ac:dyDescent="0.3">
      <c r="A226" s="5">
        <v>75997391512</v>
      </c>
      <c r="B226" s="6">
        <v>45890</v>
      </c>
      <c r="C226" s="11">
        <v>0.64953703703703702</v>
      </c>
      <c r="D226" s="5" t="s">
        <v>30</v>
      </c>
      <c r="E226" s="11"/>
      <c r="F226" s="11"/>
      <c r="G226" s="5" t="s">
        <v>18</v>
      </c>
      <c r="H226" s="5" t="s">
        <v>18</v>
      </c>
      <c r="I226" s="5" t="s">
        <v>36</v>
      </c>
      <c r="J226" s="5">
        <v>9232043732</v>
      </c>
      <c r="K226" s="5" t="s">
        <v>380</v>
      </c>
      <c r="L226" s="5" t="s">
        <v>113</v>
      </c>
      <c r="M226" s="5" t="s">
        <v>22</v>
      </c>
      <c r="N226" s="5" t="s">
        <v>23</v>
      </c>
      <c r="O226" s="5">
        <v>4</v>
      </c>
      <c r="P226" s="5" t="s">
        <v>34</v>
      </c>
      <c r="Q226" s="5" t="s">
        <v>67</v>
      </c>
      <c r="U226" s="5">
        <v>75915057244</v>
      </c>
      <c r="V226" s="11">
        <v>45921</v>
      </c>
      <c r="W226" s="11">
        <v>0.7434143518518519</v>
      </c>
      <c r="X226" s="5">
        <f t="shared" si="30"/>
        <v>9</v>
      </c>
      <c r="Y226" s="5">
        <f t="shared" si="34"/>
        <v>39</v>
      </c>
      <c r="Z226" s="5">
        <f t="shared" si="35"/>
        <v>21</v>
      </c>
      <c r="AA226" s="5">
        <f t="shared" si="36"/>
        <v>1</v>
      </c>
      <c r="AB226" s="5" t="str">
        <f t="shared" si="37"/>
        <v>17 - 18 hr</v>
      </c>
      <c r="AC226" s="5" t="s">
        <v>78</v>
      </c>
      <c r="AD226" s="11">
        <v>45932</v>
      </c>
      <c r="AE226" s="11">
        <v>0.74306712962962962</v>
      </c>
      <c r="AF226" s="5" t="s">
        <v>18</v>
      </c>
      <c r="AG226" s="5" t="s">
        <v>18</v>
      </c>
      <c r="AH226" s="5" t="s">
        <v>19</v>
      </c>
      <c r="AI226" s="5">
        <v>9429453032</v>
      </c>
      <c r="AJ226" s="5" t="s">
        <v>357</v>
      </c>
      <c r="AK226" s="5" t="s">
        <v>358</v>
      </c>
      <c r="AL226" s="5" t="s">
        <v>29</v>
      </c>
      <c r="AM226" s="5" t="s">
        <v>23</v>
      </c>
      <c r="AN226" s="5">
        <v>9</v>
      </c>
      <c r="AO226" s="5" t="s">
        <v>24</v>
      </c>
      <c r="AP226" s="5" t="s">
        <v>25</v>
      </c>
      <c r="AQ226" s="5">
        <f t="shared" si="31"/>
        <v>263.9916666666395</v>
      </c>
      <c r="AR226" s="5">
        <f t="shared" si="32"/>
        <v>11</v>
      </c>
      <c r="AS226" s="5" t="str">
        <f t="shared" si="33"/>
        <v>9-12 days</v>
      </c>
      <c r="AT226" s="5" t="str">
        <f t="shared" ca="1" si="38"/>
        <v>STATUS-COMPLETE</v>
      </c>
      <c r="AU226" s="5" t="str">
        <f t="shared" ca="1" si="39"/>
        <v>STATUS-COMPLETE</v>
      </c>
    </row>
    <row r="227" spans="1:60" x14ac:dyDescent="0.3">
      <c r="BC227" s="65" t="s">
        <v>394</v>
      </c>
      <c r="BD227" s="65" t="s">
        <v>393</v>
      </c>
      <c r="BE227" s="5"/>
      <c r="BF227" s="5"/>
      <c r="BG227" s="5"/>
      <c r="BH227" s="5"/>
    </row>
    <row r="228" spans="1:60" x14ac:dyDescent="0.3">
      <c r="BC228" s="65" t="s">
        <v>391</v>
      </c>
      <c r="BD228" s="5" t="s">
        <v>36</v>
      </c>
      <c r="BE228" s="5" t="s">
        <v>49</v>
      </c>
      <c r="BF228" s="5" t="s">
        <v>27</v>
      </c>
      <c r="BG228" s="5" t="s">
        <v>19</v>
      </c>
      <c r="BH228" s="5" t="s">
        <v>392</v>
      </c>
    </row>
    <row r="229" spans="1:60" x14ac:dyDescent="0.3">
      <c r="BC229" s="36" t="s">
        <v>22</v>
      </c>
      <c r="BD229" s="11">
        <v>11</v>
      </c>
      <c r="BE229" s="11">
        <v>21</v>
      </c>
      <c r="BF229" s="11">
        <v>22</v>
      </c>
      <c r="BG229" s="11">
        <v>9</v>
      </c>
      <c r="BH229" s="11">
        <v>63</v>
      </c>
    </row>
    <row r="230" spans="1:60" x14ac:dyDescent="0.3">
      <c r="BC230" s="36" t="s">
        <v>82</v>
      </c>
      <c r="BD230" s="11">
        <v>9</v>
      </c>
      <c r="BE230" s="11">
        <v>17</v>
      </c>
      <c r="BF230" s="11">
        <v>16</v>
      </c>
      <c r="BG230" s="11">
        <v>5</v>
      </c>
      <c r="BH230" s="11">
        <v>47</v>
      </c>
    </row>
    <row r="231" spans="1:60" x14ac:dyDescent="0.3">
      <c r="BC231" s="36" t="s">
        <v>33</v>
      </c>
      <c r="BD231" s="11">
        <v>7</v>
      </c>
      <c r="BE231" s="11">
        <v>17</v>
      </c>
      <c r="BF231" s="11">
        <v>20</v>
      </c>
      <c r="BG231" s="11">
        <v>8</v>
      </c>
      <c r="BH231" s="11">
        <v>52</v>
      </c>
    </row>
    <row r="232" spans="1:60" x14ac:dyDescent="0.3">
      <c r="BC232" s="36" t="s">
        <v>29</v>
      </c>
      <c r="BD232" s="11">
        <v>10</v>
      </c>
      <c r="BE232" s="11">
        <v>23</v>
      </c>
      <c r="BF232" s="11">
        <v>22</v>
      </c>
      <c r="BG232" s="11">
        <v>8</v>
      </c>
      <c r="BH232" s="11">
        <v>63</v>
      </c>
    </row>
    <row r="233" spans="1:60" x14ac:dyDescent="0.3">
      <c r="BC233" s="36" t="s">
        <v>392</v>
      </c>
      <c r="BD233" s="11">
        <v>37</v>
      </c>
      <c r="BE233" s="11">
        <v>78</v>
      </c>
      <c r="BF233" s="11">
        <v>80</v>
      </c>
      <c r="BG233" s="11">
        <v>30</v>
      </c>
      <c r="BH233" s="11">
        <v>225</v>
      </c>
    </row>
  </sheetData>
  <phoneticPr fontId="13" type="noConversion"/>
  <conditionalFormatting pivot="1" sqref="BD221:BG224">
    <cfRule type="colorScale" priority="3">
      <colorScale>
        <cfvo type="min"/>
        <cfvo type="max"/>
        <color theme="0"/>
        <color rgb="FFFF0000"/>
      </colorScale>
    </cfRule>
  </conditionalFormatting>
  <conditionalFormatting pivot="1" sqref="BD221:BG224">
    <cfRule type="colorScale" priority="2">
      <colorScale>
        <cfvo type="min"/>
        <cfvo type="max"/>
        <color theme="0"/>
        <color theme="7" tint="-0.499984740745262"/>
      </colorScale>
    </cfRule>
  </conditionalFormatting>
  <conditionalFormatting pivot="1" sqref="BD229:BG232">
    <cfRule type="colorScale" priority="1">
      <colorScale>
        <cfvo type="min"/>
        <cfvo type="max"/>
        <color theme="0"/>
        <color rgb="FFFF0000"/>
      </colorScale>
    </cfRule>
  </conditionalFormatting>
  <pageMargins left="0.7" right="0.7" top="0.75" bottom="0.75" header="0.3" footer="0.3"/>
  <pageSetup orientation="portrait" r:id="rId27"/>
  <drawing r:id="rId28"/>
  <extLst>
    <ext xmlns:x14="http://schemas.microsoft.com/office/spreadsheetml/2009/9/main" uri="{A8765BA9-456A-4dab-B4F3-ACF838C121DE}">
      <x14:slicerList>
        <x14:slicer r:id="rId2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44DC3-1298-4B26-AFDA-0373E1A87ABC}">
  <dimension ref="A1:K18"/>
  <sheetViews>
    <sheetView zoomScale="56" workbookViewId="0">
      <selection activeCell="F2" sqref="F2:K8"/>
    </sheetView>
  </sheetViews>
  <sheetFormatPr defaultRowHeight="14.4" x14ac:dyDescent="0.3"/>
  <cols>
    <col min="1" max="1" width="16.109375" bestFit="1" customWidth="1"/>
    <col min="2" max="2" width="23.77734375" bestFit="1" customWidth="1"/>
    <col min="3" max="3" width="72.109375" bestFit="1" customWidth="1"/>
    <col min="4" max="4" width="12" bestFit="1" customWidth="1"/>
    <col min="6" max="6" width="12.5546875" bestFit="1" customWidth="1"/>
    <col min="8" max="8" width="9.5546875" bestFit="1" customWidth="1"/>
    <col min="9" max="9" width="12.6640625" bestFit="1" customWidth="1"/>
    <col min="10" max="10" width="9.109375" bestFit="1" customWidth="1"/>
  </cols>
  <sheetData>
    <row r="1" spans="1:11" x14ac:dyDescent="0.3">
      <c r="A1" t="s">
        <v>416</v>
      </c>
      <c r="B1" t="s">
        <v>417</v>
      </c>
      <c r="C1" t="s">
        <v>418</v>
      </c>
    </row>
    <row r="2" spans="1:11" x14ac:dyDescent="0.3">
      <c r="A2" t="s">
        <v>419</v>
      </c>
      <c r="B2" t="s">
        <v>420</v>
      </c>
      <c r="C2" t="s">
        <v>421</v>
      </c>
      <c r="F2" s="40" t="s">
        <v>404</v>
      </c>
      <c r="G2" s="40"/>
      <c r="H2" s="40"/>
      <c r="I2" s="40" t="s">
        <v>405</v>
      </c>
      <c r="J2" s="40"/>
      <c r="K2" s="40"/>
    </row>
    <row r="3" spans="1:11" x14ac:dyDescent="0.3">
      <c r="A3" t="s">
        <v>422</v>
      </c>
      <c r="B3" t="s">
        <v>423</v>
      </c>
      <c r="C3" t="s">
        <v>424</v>
      </c>
      <c r="F3" t="s">
        <v>395</v>
      </c>
      <c r="G3" t="s">
        <v>396</v>
      </c>
      <c r="H3" t="s">
        <v>397</v>
      </c>
      <c r="I3" t="s">
        <v>395</v>
      </c>
      <c r="J3" t="s">
        <v>396</v>
      </c>
      <c r="K3" t="s">
        <v>397</v>
      </c>
    </row>
    <row r="4" spans="1:11" x14ac:dyDescent="0.3">
      <c r="A4" t="s">
        <v>425</v>
      </c>
      <c r="B4" t="s">
        <v>426</v>
      </c>
      <c r="C4" t="s">
        <v>427</v>
      </c>
      <c r="F4" t="s">
        <v>398</v>
      </c>
      <c r="G4" t="s">
        <v>406</v>
      </c>
      <c r="H4" t="s">
        <v>402</v>
      </c>
      <c r="I4" t="s">
        <v>398</v>
      </c>
      <c r="J4" t="s">
        <v>401</v>
      </c>
      <c r="K4" t="s">
        <v>399</v>
      </c>
    </row>
    <row r="5" spans="1:11" x14ac:dyDescent="0.3">
      <c r="A5" t="s">
        <v>428</v>
      </c>
      <c r="B5" t="s">
        <v>429</v>
      </c>
      <c r="C5" t="s">
        <v>455</v>
      </c>
      <c r="F5" t="s">
        <v>400</v>
      </c>
      <c r="G5" t="s">
        <v>401</v>
      </c>
      <c r="H5" t="s">
        <v>402</v>
      </c>
      <c r="I5" t="s">
        <v>403</v>
      </c>
      <c r="J5" t="s">
        <v>401</v>
      </c>
      <c r="K5" t="s">
        <v>399</v>
      </c>
    </row>
    <row r="6" spans="1:11" x14ac:dyDescent="0.3">
      <c r="A6" t="s">
        <v>430</v>
      </c>
      <c r="B6" t="s">
        <v>423</v>
      </c>
      <c r="C6" t="s">
        <v>431</v>
      </c>
      <c r="F6" t="s">
        <v>400</v>
      </c>
      <c r="G6" t="s">
        <v>407</v>
      </c>
      <c r="H6" t="s">
        <v>402</v>
      </c>
      <c r="I6" t="s">
        <v>408</v>
      </c>
      <c r="J6" t="s">
        <v>407</v>
      </c>
      <c r="K6" t="s">
        <v>402</v>
      </c>
    </row>
    <row r="7" spans="1:11" x14ac:dyDescent="0.3">
      <c r="A7" t="s">
        <v>432</v>
      </c>
      <c r="B7" t="s">
        <v>426</v>
      </c>
      <c r="C7" t="s">
        <v>433</v>
      </c>
      <c r="F7" t="s">
        <v>409</v>
      </c>
      <c r="G7" t="s">
        <v>410</v>
      </c>
      <c r="H7" t="s">
        <v>402</v>
      </c>
      <c r="I7" t="s">
        <v>410</v>
      </c>
      <c r="J7" t="s">
        <v>407</v>
      </c>
      <c r="K7" t="s">
        <v>402</v>
      </c>
    </row>
    <row r="8" spans="1:11" x14ac:dyDescent="0.3">
      <c r="A8" t="s">
        <v>434</v>
      </c>
      <c r="B8" t="s">
        <v>429</v>
      </c>
      <c r="C8" t="s">
        <v>435</v>
      </c>
      <c r="F8" t="s">
        <v>409</v>
      </c>
      <c r="G8" t="s">
        <v>410</v>
      </c>
      <c r="H8" t="s">
        <v>408</v>
      </c>
      <c r="I8" t="s">
        <v>410</v>
      </c>
      <c r="J8" t="s">
        <v>407</v>
      </c>
    </row>
    <row r="9" spans="1:11" x14ac:dyDescent="0.3">
      <c r="A9" t="s">
        <v>436</v>
      </c>
      <c r="B9" t="s">
        <v>429</v>
      </c>
      <c r="C9" t="s">
        <v>437</v>
      </c>
    </row>
    <row r="10" spans="1:11" x14ac:dyDescent="0.3">
      <c r="A10" t="s">
        <v>438</v>
      </c>
      <c r="B10" t="s">
        <v>429</v>
      </c>
      <c r="C10" t="s">
        <v>437</v>
      </c>
    </row>
    <row r="11" spans="1:11" x14ac:dyDescent="0.3">
      <c r="A11" t="s">
        <v>9</v>
      </c>
      <c r="B11" t="s">
        <v>439</v>
      </c>
      <c r="C11" t="s">
        <v>440</v>
      </c>
    </row>
    <row r="12" spans="1:11" x14ac:dyDescent="0.3">
      <c r="A12" t="s">
        <v>10</v>
      </c>
      <c r="B12" t="s">
        <v>429</v>
      </c>
      <c r="C12" t="s">
        <v>441</v>
      </c>
    </row>
    <row r="13" spans="1:11" x14ac:dyDescent="0.3">
      <c r="A13" t="s">
        <v>442</v>
      </c>
      <c r="B13" t="s">
        <v>443</v>
      </c>
      <c r="C13" t="s">
        <v>444</v>
      </c>
    </row>
    <row r="14" spans="1:11" x14ac:dyDescent="0.3">
      <c r="A14" t="s">
        <v>445</v>
      </c>
      <c r="B14" t="s">
        <v>446</v>
      </c>
      <c r="C14" t="s">
        <v>447</v>
      </c>
    </row>
    <row r="15" spans="1:11" x14ac:dyDescent="0.3">
      <c r="A15" t="s">
        <v>448</v>
      </c>
      <c r="B15" t="s">
        <v>429</v>
      </c>
      <c r="C15" t="s">
        <v>447</v>
      </c>
    </row>
    <row r="16" spans="1:11" x14ac:dyDescent="0.3">
      <c r="A16" t="s">
        <v>449</v>
      </c>
      <c r="B16" t="s">
        <v>450</v>
      </c>
      <c r="C16" t="s">
        <v>451</v>
      </c>
    </row>
    <row r="17" spans="1:3" x14ac:dyDescent="0.3">
      <c r="A17" t="s">
        <v>15</v>
      </c>
      <c r="B17" t="s">
        <v>439</v>
      </c>
      <c r="C17" t="s">
        <v>452</v>
      </c>
    </row>
    <row r="18" spans="1:3" x14ac:dyDescent="0.3">
      <c r="A18" t="s">
        <v>453</v>
      </c>
      <c r="B18" t="s">
        <v>446</v>
      </c>
      <c r="C18" t="s">
        <v>454</v>
      </c>
    </row>
  </sheetData>
  <mergeCells count="2">
    <mergeCell ref="F2:H2"/>
    <mergeCell ref="I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21596-CF9F-4FEF-A84A-1996D086C722}">
  <dimension ref="A1:F226"/>
  <sheetViews>
    <sheetView workbookViewId="0">
      <selection activeCell="F2" sqref="F2"/>
    </sheetView>
  </sheetViews>
  <sheetFormatPr defaultRowHeight="14.4" x14ac:dyDescent="0.3"/>
  <cols>
    <col min="1" max="1" width="16.44140625" style="12" bestFit="1" customWidth="1"/>
    <col min="2" max="2" width="9.33203125" bestFit="1" customWidth="1"/>
    <col min="3" max="3" width="22.77734375" bestFit="1" customWidth="1"/>
    <col min="4" max="4" width="16.5546875" bestFit="1" customWidth="1"/>
    <col min="5" max="5" width="15.6640625" bestFit="1" customWidth="1"/>
    <col min="6" max="6" width="21.77734375" bestFit="1" customWidth="1"/>
    <col min="9" max="9" width="22.77734375" bestFit="1" customWidth="1"/>
  </cols>
  <sheetData>
    <row r="1" spans="1:6" ht="18" x14ac:dyDescent="0.35">
      <c r="A1" s="10" t="s">
        <v>4</v>
      </c>
      <c r="B1" s="8" t="s">
        <v>15</v>
      </c>
      <c r="C1" s="8" t="s">
        <v>16</v>
      </c>
      <c r="D1" s="9" t="s">
        <v>411</v>
      </c>
      <c r="E1" s="9" t="s">
        <v>412</v>
      </c>
      <c r="F1" s="9" t="s">
        <v>413</v>
      </c>
    </row>
    <row r="2" spans="1:6" x14ac:dyDescent="0.3">
      <c r="A2" s="11">
        <v>45899</v>
      </c>
      <c r="B2" s="5" t="s">
        <v>24</v>
      </c>
      <c r="C2" s="5" t="s">
        <v>25</v>
      </c>
      <c r="D2">
        <f>IF(A2&lt;&gt;"",A2,
    IF(AND(A2="",B2="Complete"),"SOLVED_BUT_DNP",
    IF(AND(A2="",B2="Pending"),"",
    IF(AND(A2="",B2="",C2&lt;&gt;""),"",
    ""))))</f>
        <v>45899</v>
      </c>
      <c r="E2" t="str">
        <f>IF(A2&lt;&gt;"","Complete",
    IF(AND(A2="",B2="Complete"),"Complete",
    IF(AND(A2="",B2="",C2&lt;&gt;""),"Pending",
    IF(AND(A2="",B2="",C2=""),"Pending",
    B2))))</f>
        <v>Complete</v>
      </c>
      <c r="F2" t="str">
        <f>IF(A2&lt;&gt;"","Solved",
    IF(AND(A2="",B2="Complete"),"Solved",
    IF(AND(A2="",B2="",C2&lt;&gt;""),C2,
    IF(AND(A2="",B2="",C2=""),"not_present",
    C2))))</f>
        <v>Solved</v>
      </c>
    </row>
    <row r="3" spans="1:6" x14ac:dyDescent="0.3">
      <c r="A3" s="11">
        <v>45912</v>
      </c>
      <c r="B3" s="5" t="s">
        <v>24</v>
      </c>
      <c r="C3" s="5" t="s">
        <v>25</v>
      </c>
      <c r="D3">
        <f t="shared" ref="D3:D66" si="0">IF(A3&lt;&gt;"",A3,
    IF(AND(A3="",B3="Complete"),"SOLVED_BUT_DNP",
    IF(AND(A3="",B3="Pending"),"",
    IF(AND(A3="",B3="",C3&lt;&gt;""),"",
    ""))))</f>
        <v>45912</v>
      </c>
      <c r="E3" t="str">
        <f t="shared" ref="E3:E66" si="1">IF(A3&lt;&gt;"","Complete",
    IF(AND(A3="",B3="Complete"),"Complete",
    IF(AND(A3="",B3="",C3&lt;&gt;""),"Pending",
    IF(AND(A3="",B3="",C3=""),"Pending",
    B3))))</f>
        <v>Complete</v>
      </c>
      <c r="F3" t="str">
        <f t="shared" ref="F3:F66" si="2">IF(A3&lt;&gt;"","Solved",
    IF(AND(A3="",B3="Complete"),"Solved",
    IF(AND(A3="",B3="",C3&lt;&gt;""),C3,
    IF(AND(A3="",B3="",C3=""),"not_present",
    C3))))</f>
        <v>Solved</v>
      </c>
    </row>
    <row r="4" spans="1:6" x14ac:dyDescent="0.3">
      <c r="A4" s="11"/>
      <c r="B4" s="5" t="s">
        <v>34</v>
      </c>
      <c r="C4" s="5" t="s">
        <v>35</v>
      </c>
      <c r="D4" t="str">
        <f t="shared" si="0"/>
        <v/>
      </c>
      <c r="E4" t="str">
        <f t="shared" si="1"/>
        <v>Pending</v>
      </c>
      <c r="F4" t="str">
        <f t="shared" si="2"/>
        <v>In Progress</v>
      </c>
    </row>
    <row r="5" spans="1:6" x14ac:dyDescent="0.3">
      <c r="A5" s="11">
        <v>45916</v>
      </c>
      <c r="B5" s="5" t="s">
        <v>24</v>
      </c>
      <c r="C5" s="5" t="s">
        <v>25</v>
      </c>
      <c r="D5">
        <f t="shared" si="0"/>
        <v>45916</v>
      </c>
      <c r="E5" t="str">
        <f t="shared" si="1"/>
        <v>Complete</v>
      </c>
      <c r="F5" t="str">
        <f t="shared" si="2"/>
        <v>Solved</v>
      </c>
    </row>
    <row r="6" spans="1:6" x14ac:dyDescent="0.3">
      <c r="A6" s="11">
        <v>45921</v>
      </c>
      <c r="B6" s="5" t="s">
        <v>24</v>
      </c>
      <c r="C6" s="5" t="s">
        <v>25</v>
      </c>
      <c r="D6">
        <f t="shared" si="0"/>
        <v>45921</v>
      </c>
      <c r="E6" t="str">
        <f t="shared" si="1"/>
        <v>Complete</v>
      </c>
      <c r="F6" t="str">
        <f t="shared" si="2"/>
        <v>Solved</v>
      </c>
    </row>
    <row r="7" spans="1:6" x14ac:dyDescent="0.3">
      <c r="A7" s="11">
        <v>45910</v>
      </c>
      <c r="B7" s="5" t="s">
        <v>24</v>
      </c>
      <c r="C7" s="5" t="s">
        <v>25</v>
      </c>
      <c r="D7">
        <f t="shared" si="0"/>
        <v>45910</v>
      </c>
      <c r="E7" t="str">
        <f t="shared" si="1"/>
        <v>Complete</v>
      </c>
      <c r="F7" t="str">
        <f t="shared" si="2"/>
        <v>Solved</v>
      </c>
    </row>
    <row r="8" spans="1:6" x14ac:dyDescent="0.3">
      <c r="A8" s="11">
        <v>45912</v>
      </c>
      <c r="B8" s="5" t="s">
        <v>24</v>
      </c>
      <c r="C8" s="5" t="s">
        <v>25</v>
      </c>
      <c r="D8">
        <f t="shared" si="0"/>
        <v>45912</v>
      </c>
      <c r="E8" t="str">
        <f t="shared" si="1"/>
        <v>Complete</v>
      </c>
      <c r="F8" t="str">
        <f t="shared" si="2"/>
        <v>Solved</v>
      </c>
    </row>
    <row r="9" spans="1:6" x14ac:dyDescent="0.3">
      <c r="A9" s="11"/>
      <c r="B9" s="5" t="s">
        <v>34</v>
      </c>
      <c r="C9" s="5" t="s">
        <v>35</v>
      </c>
      <c r="D9" t="str">
        <f t="shared" si="0"/>
        <v/>
      </c>
      <c r="E9" t="str">
        <f t="shared" si="1"/>
        <v>Pending</v>
      </c>
      <c r="F9" t="str">
        <f t="shared" si="2"/>
        <v>In Progress</v>
      </c>
    </row>
    <row r="10" spans="1:6" x14ac:dyDescent="0.3">
      <c r="A10" s="11">
        <v>45906</v>
      </c>
      <c r="B10" s="5" t="s">
        <v>24</v>
      </c>
      <c r="C10" s="5" t="s">
        <v>25</v>
      </c>
      <c r="D10">
        <f t="shared" si="0"/>
        <v>45906</v>
      </c>
      <c r="E10" t="str">
        <f t="shared" si="1"/>
        <v>Complete</v>
      </c>
      <c r="F10" t="str">
        <f t="shared" si="2"/>
        <v>Solved</v>
      </c>
    </row>
    <row r="11" spans="1:6" x14ac:dyDescent="0.3">
      <c r="A11" s="11">
        <v>45922</v>
      </c>
      <c r="B11" s="5" t="s">
        <v>24</v>
      </c>
      <c r="C11" s="5" t="s">
        <v>25</v>
      </c>
      <c r="D11">
        <f t="shared" si="0"/>
        <v>45922</v>
      </c>
      <c r="E11" t="str">
        <f t="shared" si="1"/>
        <v>Complete</v>
      </c>
      <c r="F11" t="str">
        <f t="shared" si="2"/>
        <v>Solved</v>
      </c>
    </row>
    <row r="12" spans="1:6" x14ac:dyDescent="0.3">
      <c r="A12" s="11"/>
      <c r="B12" s="5" t="s">
        <v>34</v>
      </c>
      <c r="C12" s="5" t="s">
        <v>60</v>
      </c>
      <c r="D12" t="str">
        <f t="shared" si="0"/>
        <v/>
      </c>
      <c r="E12" t="str">
        <f t="shared" si="1"/>
        <v>Pending</v>
      </c>
      <c r="F12" t="str">
        <f t="shared" si="2"/>
        <v>Awaiting Action - Learner</v>
      </c>
    </row>
    <row r="13" spans="1:6" x14ac:dyDescent="0.3">
      <c r="A13" s="11">
        <v>45882</v>
      </c>
      <c r="B13" s="5" t="s">
        <v>24</v>
      </c>
      <c r="C13" s="5" t="s">
        <v>25</v>
      </c>
      <c r="D13">
        <f t="shared" si="0"/>
        <v>45882</v>
      </c>
      <c r="E13" t="str">
        <f t="shared" si="1"/>
        <v>Complete</v>
      </c>
      <c r="F13" t="str">
        <f t="shared" si="2"/>
        <v>Solved</v>
      </c>
    </row>
    <row r="14" spans="1:6" x14ac:dyDescent="0.3">
      <c r="A14" s="11"/>
      <c r="B14" s="5" t="s">
        <v>34</v>
      </c>
      <c r="C14" s="5" t="s">
        <v>67</v>
      </c>
      <c r="D14" t="str">
        <f t="shared" si="0"/>
        <v/>
      </c>
      <c r="E14" t="str">
        <f t="shared" si="1"/>
        <v>Pending</v>
      </c>
      <c r="F14" t="str">
        <f t="shared" si="2"/>
        <v>Awaiting Action - Scaler</v>
      </c>
    </row>
    <row r="15" spans="1:6" x14ac:dyDescent="0.3">
      <c r="A15" s="11"/>
      <c r="B15" s="5" t="s">
        <v>34</v>
      </c>
      <c r="C15" s="5" t="s">
        <v>60</v>
      </c>
      <c r="D15" t="str">
        <f t="shared" si="0"/>
        <v/>
      </c>
      <c r="E15" t="str">
        <f t="shared" si="1"/>
        <v>Pending</v>
      </c>
      <c r="F15" t="str">
        <f t="shared" si="2"/>
        <v>Awaiting Action - Learner</v>
      </c>
    </row>
    <row r="16" spans="1:6" x14ac:dyDescent="0.3">
      <c r="A16" s="11">
        <v>45896</v>
      </c>
      <c r="B16" s="5" t="s">
        <v>24</v>
      </c>
      <c r="C16" s="5" t="s">
        <v>25</v>
      </c>
      <c r="D16">
        <f t="shared" si="0"/>
        <v>45896</v>
      </c>
      <c r="E16" t="str">
        <f t="shared" si="1"/>
        <v>Complete</v>
      </c>
      <c r="F16" t="str">
        <f t="shared" si="2"/>
        <v>Solved</v>
      </c>
    </row>
    <row r="17" spans="1:6" x14ac:dyDescent="0.3">
      <c r="A17" s="11"/>
      <c r="B17" s="5" t="s">
        <v>34</v>
      </c>
      <c r="C17" s="5" t="s">
        <v>35</v>
      </c>
      <c r="D17" t="str">
        <f t="shared" si="0"/>
        <v/>
      </c>
      <c r="E17" t="str">
        <f t="shared" si="1"/>
        <v>Pending</v>
      </c>
      <c r="F17" t="str">
        <f t="shared" si="2"/>
        <v>In Progress</v>
      </c>
    </row>
    <row r="18" spans="1:6" x14ac:dyDescent="0.3">
      <c r="A18" s="11">
        <v>45903</v>
      </c>
      <c r="B18" s="5" t="s">
        <v>24</v>
      </c>
      <c r="C18" s="5" t="s">
        <v>25</v>
      </c>
      <c r="D18">
        <f t="shared" si="0"/>
        <v>45903</v>
      </c>
      <c r="E18" t="str">
        <f t="shared" si="1"/>
        <v>Complete</v>
      </c>
      <c r="F18" t="str">
        <f t="shared" si="2"/>
        <v>Solved</v>
      </c>
    </row>
    <row r="19" spans="1:6" x14ac:dyDescent="0.3">
      <c r="A19" s="11">
        <v>45927</v>
      </c>
      <c r="B19" s="5" t="s">
        <v>24</v>
      </c>
      <c r="C19" s="5" t="s">
        <v>25</v>
      </c>
      <c r="D19">
        <f t="shared" si="0"/>
        <v>45927</v>
      </c>
      <c r="E19" t="str">
        <f t="shared" si="1"/>
        <v>Complete</v>
      </c>
      <c r="F19" t="str">
        <f t="shared" si="2"/>
        <v>Solved</v>
      </c>
    </row>
    <row r="20" spans="1:6" x14ac:dyDescent="0.3">
      <c r="A20" s="11"/>
      <c r="B20" s="5" t="s">
        <v>34</v>
      </c>
      <c r="C20" s="5" t="s">
        <v>35</v>
      </c>
      <c r="D20" t="str">
        <f t="shared" si="0"/>
        <v/>
      </c>
      <c r="E20" t="str">
        <f t="shared" si="1"/>
        <v>Pending</v>
      </c>
      <c r="F20" t="str">
        <f t="shared" si="2"/>
        <v>In Progress</v>
      </c>
    </row>
    <row r="21" spans="1:6" x14ac:dyDescent="0.3">
      <c r="A21" s="11">
        <v>45901</v>
      </c>
      <c r="B21" s="5" t="s">
        <v>24</v>
      </c>
      <c r="C21" s="5" t="s">
        <v>25</v>
      </c>
      <c r="D21">
        <f t="shared" si="0"/>
        <v>45901</v>
      </c>
      <c r="E21" t="str">
        <f t="shared" si="1"/>
        <v>Complete</v>
      </c>
      <c r="F21" t="str">
        <f t="shared" si="2"/>
        <v>Solved</v>
      </c>
    </row>
    <row r="22" spans="1:6" x14ac:dyDescent="0.3">
      <c r="A22" s="11">
        <v>45902</v>
      </c>
      <c r="B22" s="5" t="s">
        <v>24</v>
      </c>
      <c r="C22" s="5" t="s">
        <v>25</v>
      </c>
      <c r="D22">
        <f t="shared" si="0"/>
        <v>45902</v>
      </c>
      <c r="E22" t="str">
        <f t="shared" si="1"/>
        <v>Complete</v>
      </c>
      <c r="F22" t="str">
        <f t="shared" si="2"/>
        <v>Solved</v>
      </c>
    </row>
    <row r="23" spans="1:6" x14ac:dyDescent="0.3">
      <c r="A23" s="11">
        <v>45899</v>
      </c>
      <c r="B23" s="5" t="s">
        <v>24</v>
      </c>
      <c r="C23" s="5" t="s">
        <v>25</v>
      </c>
      <c r="D23">
        <f t="shared" si="0"/>
        <v>45899</v>
      </c>
      <c r="E23" t="str">
        <f t="shared" si="1"/>
        <v>Complete</v>
      </c>
      <c r="F23" t="str">
        <f t="shared" si="2"/>
        <v>Solved</v>
      </c>
    </row>
    <row r="24" spans="1:6" x14ac:dyDescent="0.3">
      <c r="A24" s="11">
        <v>45910</v>
      </c>
      <c r="B24" s="5" t="s">
        <v>24</v>
      </c>
      <c r="C24" s="5" t="s">
        <v>25</v>
      </c>
      <c r="D24">
        <f t="shared" si="0"/>
        <v>45910</v>
      </c>
      <c r="E24" t="str">
        <f t="shared" si="1"/>
        <v>Complete</v>
      </c>
      <c r="F24" t="str">
        <f t="shared" si="2"/>
        <v>Solved</v>
      </c>
    </row>
    <row r="25" spans="1:6" x14ac:dyDescent="0.3">
      <c r="A25" s="11"/>
      <c r="B25" s="5" t="s">
        <v>34</v>
      </c>
      <c r="C25" s="5" t="s">
        <v>35</v>
      </c>
      <c r="D25" t="str">
        <f t="shared" si="0"/>
        <v/>
      </c>
      <c r="E25" t="str">
        <f t="shared" si="1"/>
        <v>Pending</v>
      </c>
      <c r="F25" t="str">
        <f t="shared" si="2"/>
        <v>In Progress</v>
      </c>
    </row>
    <row r="26" spans="1:6" x14ac:dyDescent="0.3">
      <c r="A26" s="11">
        <v>45902</v>
      </c>
      <c r="B26" s="5" t="s">
        <v>24</v>
      </c>
      <c r="C26" s="5" t="s">
        <v>25</v>
      </c>
      <c r="D26">
        <f t="shared" si="0"/>
        <v>45902</v>
      </c>
      <c r="E26" t="str">
        <f t="shared" si="1"/>
        <v>Complete</v>
      </c>
      <c r="F26" t="str">
        <f t="shared" si="2"/>
        <v>Solved</v>
      </c>
    </row>
    <row r="27" spans="1:6" x14ac:dyDescent="0.3">
      <c r="A27" s="11">
        <v>45918</v>
      </c>
      <c r="B27" s="5" t="s">
        <v>24</v>
      </c>
      <c r="C27" s="5" t="s">
        <v>25</v>
      </c>
      <c r="D27">
        <f t="shared" si="0"/>
        <v>45918</v>
      </c>
      <c r="E27" t="str">
        <f t="shared" si="1"/>
        <v>Complete</v>
      </c>
      <c r="F27" t="str">
        <f t="shared" si="2"/>
        <v>Solved</v>
      </c>
    </row>
    <row r="28" spans="1:6" x14ac:dyDescent="0.3">
      <c r="A28" s="11">
        <v>45922</v>
      </c>
      <c r="B28" s="5" t="s">
        <v>24</v>
      </c>
      <c r="C28" s="5" t="s">
        <v>25</v>
      </c>
      <c r="D28">
        <f t="shared" si="0"/>
        <v>45922</v>
      </c>
      <c r="E28" t="str">
        <f t="shared" si="1"/>
        <v>Complete</v>
      </c>
      <c r="F28" t="str">
        <f t="shared" si="2"/>
        <v>Solved</v>
      </c>
    </row>
    <row r="29" spans="1:6" x14ac:dyDescent="0.3">
      <c r="A29" s="11">
        <v>45884</v>
      </c>
      <c r="B29" s="5" t="s">
        <v>24</v>
      </c>
      <c r="C29" s="5" t="s">
        <v>25</v>
      </c>
      <c r="D29">
        <f t="shared" si="0"/>
        <v>45884</v>
      </c>
      <c r="E29" t="str">
        <f t="shared" si="1"/>
        <v>Complete</v>
      </c>
      <c r="F29" t="str">
        <f t="shared" si="2"/>
        <v>Solved</v>
      </c>
    </row>
    <row r="30" spans="1:6" x14ac:dyDescent="0.3">
      <c r="A30" s="11">
        <v>45889</v>
      </c>
      <c r="B30" s="5" t="s">
        <v>24</v>
      </c>
      <c r="C30" s="5" t="s">
        <v>25</v>
      </c>
      <c r="D30">
        <f t="shared" si="0"/>
        <v>45889</v>
      </c>
      <c r="E30" t="str">
        <f t="shared" si="1"/>
        <v>Complete</v>
      </c>
      <c r="F30" t="str">
        <f t="shared" si="2"/>
        <v>Solved</v>
      </c>
    </row>
    <row r="31" spans="1:6" x14ac:dyDescent="0.3">
      <c r="A31" s="11"/>
      <c r="B31" s="5" t="s">
        <v>34</v>
      </c>
      <c r="C31" s="5" t="s">
        <v>35</v>
      </c>
      <c r="D31" t="str">
        <f t="shared" si="0"/>
        <v/>
      </c>
      <c r="E31" t="str">
        <f t="shared" si="1"/>
        <v>Pending</v>
      </c>
      <c r="F31" t="str">
        <f t="shared" si="2"/>
        <v>In Progress</v>
      </c>
    </row>
    <row r="32" spans="1:6" x14ac:dyDescent="0.3">
      <c r="A32" s="11">
        <v>45908</v>
      </c>
      <c r="B32" s="5" t="s">
        <v>24</v>
      </c>
      <c r="C32" s="5" t="s">
        <v>25</v>
      </c>
      <c r="D32">
        <f t="shared" si="0"/>
        <v>45908</v>
      </c>
      <c r="E32" t="str">
        <f t="shared" si="1"/>
        <v>Complete</v>
      </c>
      <c r="F32" t="str">
        <f t="shared" si="2"/>
        <v>Solved</v>
      </c>
    </row>
    <row r="33" spans="1:6" x14ac:dyDescent="0.3">
      <c r="A33" s="11"/>
      <c r="B33" s="5" t="s">
        <v>24</v>
      </c>
      <c r="C33" s="5" t="s">
        <v>25</v>
      </c>
      <c r="D33" t="str">
        <f t="shared" si="0"/>
        <v>SOLVED_BUT_DNP</v>
      </c>
      <c r="E33" t="str">
        <f t="shared" si="1"/>
        <v>Complete</v>
      </c>
      <c r="F33" t="str">
        <f t="shared" si="2"/>
        <v>Solved</v>
      </c>
    </row>
    <row r="34" spans="1:6" x14ac:dyDescent="0.3">
      <c r="A34" s="11">
        <v>45905</v>
      </c>
      <c r="B34" s="5" t="s">
        <v>24</v>
      </c>
      <c r="C34" s="5" t="s">
        <v>25</v>
      </c>
      <c r="D34">
        <f t="shared" si="0"/>
        <v>45905</v>
      </c>
      <c r="E34" t="str">
        <f t="shared" si="1"/>
        <v>Complete</v>
      </c>
      <c r="F34" t="str">
        <f t="shared" si="2"/>
        <v>Solved</v>
      </c>
    </row>
    <row r="35" spans="1:6" x14ac:dyDescent="0.3">
      <c r="A35" s="11"/>
      <c r="B35" s="5" t="s">
        <v>34</v>
      </c>
      <c r="C35" s="5" t="s">
        <v>35</v>
      </c>
      <c r="D35" t="str">
        <f t="shared" si="0"/>
        <v/>
      </c>
      <c r="E35" t="str">
        <f t="shared" si="1"/>
        <v>Pending</v>
      </c>
      <c r="F35" t="str">
        <f t="shared" si="2"/>
        <v>In Progress</v>
      </c>
    </row>
    <row r="36" spans="1:6" x14ac:dyDescent="0.3">
      <c r="A36" s="11">
        <v>45891</v>
      </c>
      <c r="B36" s="5" t="s">
        <v>24</v>
      </c>
      <c r="C36" s="5" t="s">
        <v>25</v>
      </c>
      <c r="D36">
        <f t="shared" si="0"/>
        <v>45891</v>
      </c>
      <c r="E36" t="str">
        <f t="shared" si="1"/>
        <v>Complete</v>
      </c>
      <c r="F36" t="str">
        <f t="shared" si="2"/>
        <v>Solved</v>
      </c>
    </row>
    <row r="37" spans="1:6" x14ac:dyDescent="0.3">
      <c r="A37" s="11"/>
      <c r="B37" s="5" t="s">
        <v>34</v>
      </c>
      <c r="C37" s="5" t="s">
        <v>60</v>
      </c>
      <c r="D37" t="str">
        <f t="shared" si="0"/>
        <v/>
      </c>
      <c r="E37" t="str">
        <f t="shared" si="1"/>
        <v>Pending</v>
      </c>
      <c r="F37" t="str">
        <f t="shared" si="2"/>
        <v>Awaiting Action - Learner</v>
      </c>
    </row>
    <row r="38" spans="1:6" x14ac:dyDescent="0.3">
      <c r="A38" s="11">
        <v>45909</v>
      </c>
      <c r="B38" s="5" t="s">
        <v>24</v>
      </c>
      <c r="C38" s="5" t="s">
        <v>25</v>
      </c>
      <c r="D38">
        <f t="shared" si="0"/>
        <v>45909</v>
      </c>
      <c r="E38" t="str">
        <f t="shared" si="1"/>
        <v>Complete</v>
      </c>
      <c r="F38" t="str">
        <f t="shared" si="2"/>
        <v>Solved</v>
      </c>
    </row>
    <row r="39" spans="1:6" x14ac:dyDescent="0.3">
      <c r="A39" s="11">
        <v>45907</v>
      </c>
      <c r="B39" s="5" t="s">
        <v>24</v>
      </c>
      <c r="C39" s="5" t="s">
        <v>25</v>
      </c>
      <c r="D39">
        <f t="shared" si="0"/>
        <v>45907</v>
      </c>
      <c r="E39" t="str">
        <f t="shared" si="1"/>
        <v>Complete</v>
      </c>
      <c r="F39" t="str">
        <f t="shared" si="2"/>
        <v>Solved</v>
      </c>
    </row>
    <row r="40" spans="1:6" x14ac:dyDescent="0.3">
      <c r="A40" s="11">
        <v>45902</v>
      </c>
      <c r="B40" s="5" t="s">
        <v>24</v>
      </c>
      <c r="C40" s="5" t="s">
        <v>25</v>
      </c>
      <c r="D40">
        <f t="shared" si="0"/>
        <v>45902</v>
      </c>
      <c r="E40" t="str">
        <f t="shared" si="1"/>
        <v>Complete</v>
      </c>
      <c r="F40" t="str">
        <f t="shared" si="2"/>
        <v>Solved</v>
      </c>
    </row>
    <row r="41" spans="1:6" x14ac:dyDescent="0.3">
      <c r="A41" s="11">
        <v>45898</v>
      </c>
      <c r="B41" s="5" t="s">
        <v>24</v>
      </c>
      <c r="C41" s="5" t="s">
        <v>25</v>
      </c>
      <c r="D41">
        <f t="shared" si="0"/>
        <v>45898</v>
      </c>
      <c r="E41" t="str">
        <f t="shared" si="1"/>
        <v>Complete</v>
      </c>
      <c r="F41" t="str">
        <f t="shared" si="2"/>
        <v>Solved</v>
      </c>
    </row>
    <row r="42" spans="1:6" x14ac:dyDescent="0.3">
      <c r="A42" s="11">
        <v>45903</v>
      </c>
      <c r="B42" s="5" t="s">
        <v>24</v>
      </c>
      <c r="C42" s="5" t="s">
        <v>25</v>
      </c>
      <c r="D42">
        <f t="shared" si="0"/>
        <v>45903</v>
      </c>
      <c r="E42" t="str">
        <f t="shared" si="1"/>
        <v>Complete</v>
      </c>
      <c r="F42" t="str">
        <f t="shared" si="2"/>
        <v>Solved</v>
      </c>
    </row>
    <row r="43" spans="1:6" x14ac:dyDescent="0.3">
      <c r="A43" s="11">
        <v>45890</v>
      </c>
      <c r="B43" s="5" t="s">
        <v>24</v>
      </c>
      <c r="C43" s="5" t="s">
        <v>25</v>
      </c>
      <c r="D43">
        <f t="shared" si="0"/>
        <v>45890</v>
      </c>
      <c r="E43" t="str">
        <f t="shared" si="1"/>
        <v>Complete</v>
      </c>
      <c r="F43" t="str">
        <f t="shared" si="2"/>
        <v>Solved</v>
      </c>
    </row>
    <row r="44" spans="1:6" x14ac:dyDescent="0.3">
      <c r="A44" s="11">
        <v>45926</v>
      </c>
      <c r="B44" s="5" t="s">
        <v>24</v>
      </c>
      <c r="C44" s="5" t="s">
        <v>25</v>
      </c>
      <c r="D44">
        <f t="shared" si="0"/>
        <v>45926</v>
      </c>
      <c r="E44" t="str">
        <f t="shared" si="1"/>
        <v>Complete</v>
      </c>
      <c r="F44" t="str">
        <f t="shared" si="2"/>
        <v>Solved</v>
      </c>
    </row>
    <row r="45" spans="1:6" x14ac:dyDescent="0.3">
      <c r="A45" s="11">
        <v>45907</v>
      </c>
      <c r="B45" s="5" t="s">
        <v>24</v>
      </c>
      <c r="C45" s="5" t="s">
        <v>25</v>
      </c>
      <c r="D45">
        <f t="shared" si="0"/>
        <v>45907</v>
      </c>
      <c r="E45" t="str">
        <f t="shared" si="1"/>
        <v>Complete</v>
      </c>
      <c r="F45" t="str">
        <f t="shared" si="2"/>
        <v>Solved</v>
      </c>
    </row>
    <row r="46" spans="1:6" x14ac:dyDescent="0.3">
      <c r="A46" s="11"/>
      <c r="B46" s="5" t="s">
        <v>34</v>
      </c>
      <c r="C46" s="5" t="s">
        <v>35</v>
      </c>
      <c r="D46" t="str">
        <f t="shared" si="0"/>
        <v/>
      </c>
      <c r="E46" t="str">
        <f t="shared" si="1"/>
        <v>Pending</v>
      </c>
      <c r="F46" t="str">
        <f t="shared" si="2"/>
        <v>In Progress</v>
      </c>
    </row>
    <row r="47" spans="1:6" x14ac:dyDescent="0.3">
      <c r="A47" s="11">
        <v>45880</v>
      </c>
      <c r="B47" s="5" t="s">
        <v>24</v>
      </c>
      <c r="C47" s="5" t="s">
        <v>25</v>
      </c>
      <c r="D47">
        <f t="shared" si="0"/>
        <v>45880</v>
      </c>
      <c r="E47" t="str">
        <f t="shared" si="1"/>
        <v>Complete</v>
      </c>
      <c r="F47" t="str">
        <f t="shared" si="2"/>
        <v>Solved</v>
      </c>
    </row>
    <row r="48" spans="1:6" x14ac:dyDescent="0.3">
      <c r="A48" s="11">
        <v>45888</v>
      </c>
      <c r="B48" s="5" t="s">
        <v>24</v>
      </c>
      <c r="C48" s="5" t="s">
        <v>25</v>
      </c>
      <c r="D48">
        <f t="shared" si="0"/>
        <v>45888</v>
      </c>
      <c r="E48" t="str">
        <f t="shared" si="1"/>
        <v>Complete</v>
      </c>
      <c r="F48" t="str">
        <f t="shared" si="2"/>
        <v>Solved</v>
      </c>
    </row>
    <row r="49" spans="1:6" x14ac:dyDescent="0.3">
      <c r="A49" s="11">
        <v>45872</v>
      </c>
      <c r="B49" s="5" t="s">
        <v>24</v>
      </c>
      <c r="C49" s="5" t="s">
        <v>25</v>
      </c>
      <c r="D49">
        <f t="shared" si="0"/>
        <v>45872</v>
      </c>
      <c r="E49" t="str">
        <f t="shared" si="1"/>
        <v>Complete</v>
      </c>
      <c r="F49" t="str">
        <f t="shared" si="2"/>
        <v>Solved</v>
      </c>
    </row>
    <row r="50" spans="1:6" x14ac:dyDescent="0.3">
      <c r="A50" s="11"/>
      <c r="B50" s="5" t="s">
        <v>34</v>
      </c>
      <c r="C50" s="5" t="s">
        <v>35</v>
      </c>
      <c r="D50" t="str">
        <f t="shared" si="0"/>
        <v/>
      </c>
      <c r="E50" t="str">
        <f t="shared" si="1"/>
        <v>Pending</v>
      </c>
      <c r="F50" t="str">
        <f t="shared" si="2"/>
        <v>In Progress</v>
      </c>
    </row>
    <row r="51" spans="1:6" x14ac:dyDescent="0.3">
      <c r="A51" s="11">
        <v>45884</v>
      </c>
      <c r="B51" s="5" t="s">
        <v>24</v>
      </c>
      <c r="C51" s="5" t="s">
        <v>25</v>
      </c>
      <c r="D51">
        <f t="shared" si="0"/>
        <v>45884</v>
      </c>
      <c r="E51" t="str">
        <f t="shared" si="1"/>
        <v>Complete</v>
      </c>
      <c r="F51" t="str">
        <f t="shared" si="2"/>
        <v>Solved</v>
      </c>
    </row>
    <row r="52" spans="1:6" x14ac:dyDescent="0.3">
      <c r="A52" s="11">
        <v>45887</v>
      </c>
      <c r="B52" s="5" t="s">
        <v>24</v>
      </c>
      <c r="C52" s="5" t="s">
        <v>25</v>
      </c>
      <c r="D52">
        <f t="shared" si="0"/>
        <v>45887</v>
      </c>
      <c r="E52" t="str">
        <f t="shared" si="1"/>
        <v>Complete</v>
      </c>
      <c r="F52" t="str">
        <f t="shared" si="2"/>
        <v>Solved</v>
      </c>
    </row>
    <row r="53" spans="1:6" x14ac:dyDescent="0.3">
      <c r="A53" s="11">
        <v>45923</v>
      </c>
      <c r="B53" s="5" t="s">
        <v>24</v>
      </c>
      <c r="C53" s="5" t="s">
        <v>25</v>
      </c>
      <c r="D53">
        <f t="shared" si="0"/>
        <v>45923</v>
      </c>
      <c r="E53" t="str">
        <f t="shared" si="1"/>
        <v>Complete</v>
      </c>
      <c r="F53" t="str">
        <f t="shared" si="2"/>
        <v>Solved</v>
      </c>
    </row>
    <row r="54" spans="1:6" x14ac:dyDescent="0.3">
      <c r="A54" s="11"/>
      <c r="B54" s="5" t="s">
        <v>34</v>
      </c>
      <c r="C54" s="5" t="s">
        <v>67</v>
      </c>
      <c r="D54" t="str">
        <f t="shared" si="0"/>
        <v/>
      </c>
      <c r="E54" t="str">
        <f t="shared" si="1"/>
        <v>Pending</v>
      </c>
      <c r="F54" t="str">
        <f t="shared" si="2"/>
        <v>Awaiting Action - Scaler</v>
      </c>
    </row>
    <row r="55" spans="1:6" x14ac:dyDescent="0.3">
      <c r="A55" s="11">
        <v>45887</v>
      </c>
      <c r="B55" s="5" t="s">
        <v>24</v>
      </c>
      <c r="C55" s="5" t="s">
        <v>25</v>
      </c>
      <c r="D55">
        <f t="shared" si="0"/>
        <v>45887</v>
      </c>
      <c r="E55" t="str">
        <f t="shared" si="1"/>
        <v>Complete</v>
      </c>
      <c r="F55" t="str">
        <f t="shared" si="2"/>
        <v>Solved</v>
      </c>
    </row>
    <row r="56" spans="1:6" x14ac:dyDescent="0.3">
      <c r="A56" s="11"/>
      <c r="B56" s="5" t="s">
        <v>34</v>
      </c>
      <c r="C56" s="5" t="s">
        <v>35</v>
      </c>
      <c r="D56" t="str">
        <f t="shared" si="0"/>
        <v/>
      </c>
      <c r="E56" t="str">
        <f t="shared" si="1"/>
        <v>Pending</v>
      </c>
      <c r="F56" t="str">
        <f t="shared" si="2"/>
        <v>In Progress</v>
      </c>
    </row>
    <row r="57" spans="1:6" x14ac:dyDescent="0.3">
      <c r="A57" s="11"/>
      <c r="B57" s="5" t="s">
        <v>34</v>
      </c>
      <c r="C57" s="5" t="s">
        <v>60</v>
      </c>
      <c r="D57" t="str">
        <f t="shared" si="0"/>
        <v/>
      </c>
      <c r="E57" t="str">
        <f t="shared" si="1"/>
        <v>Pending</v>
      </c>
      <c r="F57" t="str">
        <f t="shared" si="2"/>
        <v>Awaiting Action - Learner</v>
      </c>
    </row>
    <row r="58" spans="1:6" x14ac:dyDescent="0.3">
      <c r="A58" s="11">
        <v>45906</v>
      </c>
      <c r="B58" s="5" t="s">
        <v>24</v>
      </c>
      <c r="C58" s="5" t="s">
        <v>25</v>
      </c>
      <c r="D58">
        <f t="shared" si="0"/>
        <v>45906</v>
      </c>
      <c r="E58" t="str">
        <f t="shared" si="1"/>
        <v>Complete</v>
      </c>
      <c r="F58" t="str">
        <f t="shared" si="2"/>
        <v>Solved</v>
      </c>
    </row>
    <row r="59" spans="1:6" x14ac:dyDescent="0.3">
      <c r="A59" s="11">
        <v>45902</v>
      </c>
      <c r="B59" s="5" t="s">
        <v>24</v>
      </c>
      <c r="C59" s="5" t="s">
        <v>25</v>
      </c>
      <c r="D59">
        <f t="shared" si="0"/>
        <v>45902</v>
      </c>
      <c r="E59" t="str">
        <f t="shared" si="1"/>
        <v>Complete</v>
      </c>
      <c r="F59" t="str">
        <f t="shared" si="2"/>
        <v>Solved</v>
      </c>
    </row>
    <row r="60" spans="1:6" x14ac:dyDescent="0.3">
      <c r="A60" s="11">
        <v>45920</v>
      </c>
      <c r="B60" s="5" t="s">
        <v>24</v>
      </c>
      <c r="C60" s="5" t="s">
        <v>25</v>
      </c>
      <c r="D60">
        <f t="shared" si="0"/>
        <v>45920</v>
      </c>
      <c r="E60" t="str">
        <f t="shared" si="1"/>
        <v>Complete</v>
      </c>
      <c r="F60" t="str">
        <f t="shared" si="2"/>
        <v>Solved</v>
      </c>
    </row>
    <row r="61" spans="1:6" x14ac:dyDescent="0.3">
      <c r="A61" s="11">
        <v>45913</v>
      </c>
      <c r="B61" s="5" t="s">
        <v>24</v>
      </c>
      <c r="C61" s="5" t="s">
        <v>25</v>
      </c>
      <c r="D61">
        <f t="shared" si="0"/>
        <v>45913</v>
      </c>
      <c r="E61" t="str">
        <f t="shared" si="1"/>
        <v>Complete</v>
      </c>
      <c r="F61" t="str">
        <f t="shared" si="2"/>
        <v>Solved</v>
      </c>
    </row>
    <row r="62" spans="1:6" x14ac:dyDescent="0.3">
      <c r="A62" s="11">
        <v>45918</v>
      </c>
      <c r="B62" s="5" t="s">
        <v>24</v>
      </c>
      <c r="C62" s="5" t="s">
        <v>25</v>
      </c>
      <c r="D62">
        <f t="shared" si="0"/>
        <v>45918</v>
      </c>
      <c r="E62" t="str">
        <f t="shared" si="1"/>
        <v>Complete</v>
      </c>
      <c r="F62" t="str">
        <f t="shared" si="2"/>
        <v>Solved</v>
      </c>
    </row>
    <row r="63" spans="1:6" x14ac:dyDescent="0.3">
      <c r="A63" s="11">
        <v>45915</v>
      </c>
      <c r="B63" s="5" t="s">
        <v>24</v>
      </c>
      <c r="C63" s="5" t="s">
        <v>25</v>
      </c>
      <c r="D63">
        <f t="shared" si="0"/>
        <v>45915</v>
      </c>
      <c r="E63" t="str">
        <f t="shared" si="1"/>
        <v>Complete</v>
      </c>
      <c r="F63" t="str">
        <f t="shared" si="2"/>
        <v>Solved</v>
      </c>
    </row>
    <row r="64" spans="1:6" x14ac:dyDescent="0.3">
      <c r="A64" s="11"/>
      <c r="B64" s="5" t="s">
        <v>24</v>
      </c>
      <c r="C64" s="5" t="s">
        <v>25</v>
      </c>
      <c r="D64" t="str">
        <f t="shared" si="0"/>
        <v>SOLVED_BUT_DNP</v>
      </c>
      <c r="E64" t="str">
        <f t="shared" si="1"/>
        <v>Complete</v>
      </c>
      <c r="F64" t="str">
        <f t="shared" si="2"/>
        <v>Solved</v>
      </c>
    </row>
    <row r="65" spans="1:6" x14ac:dyDescent="0.3">
      <c r="A65" s="11">
        <v>45879</v>
      </c>
      <c r="B65" s="5" t="s">
        <v>24</v>
      </c>
      <c r="C65" s="5" t="s">
        <v>25</v>
      </c>
      <c r="D65">
        <f t="shared" si="0"/>
        <v>45879</v>
      </c>
      <c r="E65" t="str">
        <f t="shared" si="1"/>
        <v>Complete</v>
      </c>
      <c r="F65" t="str">
        <f t="shared" si="2"/>
        <v>Solved</v>
      </c>
    </row>
    <row r="66" spans="1:6" x14ac:dyDescent="0.3">
      <c r="A66" s="11">
        <v>45924</v>
      </c>
      <c r="B66" s="5" t="s">
        <v>24</v>
      </c>
      <c r="C66" s="5" t="s">
        <v>25</v>
      </c>
      <c r="D66">
        <f t="shared" si="0"/>
        <v>45924</v>
      </c>
      <c r="E66" t="str">
        <f t="shared" si="1"/>
        <v>Complete</v>
      </c>
      <c r="F66" t="str">
        <f t="shared" si="2"/>
        <v>Solved</v>
      </c>
    </row>
    <row r="67" spans="1:6" x14ac:dyDescent="0.3">
      <c r="A67" s="11">
        <v>45880</v>
      </c>
      <c r="B67" s="5" t="s">
        <v>24</v>
      </c>
      <c r="C67" s="5" t="s">
        <v>25</v>
      </c>
      <c r="D67">
        <f t="shared" ref="D67:D130" si="3">IF(A67&lt;&gt;"",A67,
    IF(AND(A67="",B67="Complete"),"SOLVED_BUT_DNP",
    IF(AND(A67="",B67="Pending"),"",
    IF(AND(A67="",B67="",C67&lt;&gt;""),"",
    ""))))</f>
        <v>45880</v>
      </c>
      <c r="E67" t="str">
        <f t="shared" ref="E67:E130" si="4">IF(A67&lt;&gt;"","Complete",
    IF(AND(A67="",B67="Complete"),"Complete",
    IF(AND(A67="",B67="",C67&lt;&gt;""),"Pending",
    IF(AND(A67="",B67="",C67=""),"Pending",
    B67))))</f>
        <v>Complete</v>
      </c>
      <c r="F67" t="str">
        <f t="shared" ref="F67:F130" si="5">IF(A67&lt;&gt;"","Solved",
    IF(AND(A67="",B67="Complete"),"Solved",
    IF(AND(A67="",B67="",C67&lt;&gt;""),C67,
    IF(AND(A67="",B67="",C67=""),"not_present",
    C67))))</f>
        <v>Solved</v>
      </c>
    </row>
    <row r="68" spans="1:6" x14ac:dyDescent="0.3">
      <c r="A68" s="11"/>
      <c r="B68" s="5" t="s">
        <v>24</v>
      </c>
      <c r="C68" s="5" t="s">
        <v>60</v>
      </c>
      <c r="D68" t="str">
        <f t="shared" si="3"/>
        <v>SOLVED_BUT_DNP</v>
      </c>
      <c r="E68" t="str">
        <f t="shared" si="4"/>
        <v>Complete</v>
      </c>
      <c r="F68" t="str">
        <f t="shared" si="5"/>
        <v>Solved</v>
      </c>
    </row>
    <row r="69" spans="1:6" x14ac:dyDescent="0.3">
      <c r="A69" s="11">
        <v>45887</v>
      </c>
      <c r="B69" s="5" t="s">
        <v>24</v>
      </c>
      <c r="C69" s="5" t="s">
        <v>25</v>
      </c>
      <c r="D69">
        <f t="shared" si="3"/>
        <v>45887</v>
      </c>
      <c r="E69" t="str">
        <f t="shared" si="4"/>
        <v>Complete</v>
      </c>
      <c r="F69" t="str">
        <f t="shared" si="5"/>
        <v>Solved</v>
      </c>
    </row>
    <row r="70" spans="1:6" x14ac:dyDescent="0.3">
      <c r="A70" s="11">
        <v>45885</v>
      </c>
      <c r="B70" s="5" t="s">
        <v>24</v>
      </c>
      <c r="C70" s="5" t="s">
        <v>25</v>
      </c>
      <c r="D70">
        <f t="shared" si="3"/>
        <v>45885</v>
      </c>
      <c r="E70" t="str">
        <f t="shared" si="4"/>
        <v>Complete</v>
      </c>
      <c r="F70" t="str">
        <f t="shared" si="5"/>
        <v>Solved</v>
      </c>
    </row>
    <row r="71" spans="1:6" x14ac:dyDescent="0.3">
      <c r="A71" s="11">
        <v>45885</v>
      </c>
      <c r="B71" s="5" t="s">
        <v>24</v>
      </c>
      <c r="C71" s="5" t="s">
        <v>25</v>
      </c>
      <c r="D71">
        <f t="shared" si="3"/>
        <v>45885</v>
      </c>
      <c r="E71" t="str">
        <f t="shared" si="4"/>
        <v>Complete</v>
      </c>
      <c r="F71" t="str">
        <f t="shared" si="5"/>
        <v>Solved</v>
      </c>
    </row>
    <row r="72" spans="1:6" x14ac:dyDescent="0.3">
      <c r="A72" s="11">
        <v>45916</v>
      </c>
      <c r="B72" s="5" t="s">
        <v>24</v>
      </c>
      <c r="C72" s="5" t="s">
        <v>25</v>
      </c>
      <c r="D72">
        <f t="shared" si="3"/>
        <v>45916</v>
      </c>
      <c r="E72" t="str">
        <f t="shared" si="4"/>
        <v>Complete</v>
      </c>
      <c r="F72" t="str">
        <f t="shared" si="5"/>
        <v>Solved</v>
      </c>
    </row>
    <row r="73" spans="1:6" x14ac:dyDescent="0.3">
      <c r="A73" s="11"/>
      <c r="B73" s="5" t="s">
        <v>34</v>
      </c>
      <c r="C73" s="5" t="s">
        <v>60</v>
      </c>
      <c r="D73" t="str">
        <f t="shared" si="3"/>
        <v/>
      </c>
      <c r="E73" t="str">
        <f t="shared" si="4"/>
        <v>Pending</v>
      </c>
      <c r="F73" t="str">
        <f t="shared" si="5"/>
        <v>Awaiting Action - Learner</v>
      </c>
    </row>
    <row r="74" spans="1:6" x14ac:dyDescent="0.3">
      <c r="A74" s="11">
        <v>45900</v>
      </c>
      <c r="B74" s="5" t="s">
        <v>24</v>
      </c>
      <c r="C74" s="5" t="s">
        <v>25</v>
      </c>
      <c r="D74">
        <f t="shared" si="3"/>
        <v>45900</v>
      </c>
      <c r="E74" t="str">
        <f t="shared" si="4"/>
        <v>Complete</v>
      </c>
      <c r="F74" t="str">
        <f t="shared" si="5"/>
        <v>Solved</v>
      </c>
    </row>
    <row r="75" spans="1:6" x14ac:dyDescent="0.3">
      <c r="A75" s="11">
        <v>45918</v>
      </c>
      <c r="B75" s="5" t="s">
        <v>24</v>
      </c>
      <c r="C75" s="5" t="s">
        <v>25</v>
      </c>
      <c r="D75">
        <f t="shared" si="3"/>
        <v>45918</v>
      </c>
      <c r="E75" t="str">
        <f t="shared" si="4"/>
        <v>Complete</v>
      </c>
      <c r="F75" t="str">
        <f t="shared" si="5"/>
        <v>Solved</v>
      </c>
    </row>
    <row r="76" spans="1:6" x14ac:dyDescent="0.3">
      <c r="A76" s="11"/>
      <c r="B76" s="5" t="s">
        <v>34</v>
      </c>
      <c r="C76" s="5" t="s">
        <v>35</v>
      </c>
      <c r="D76" t="str">
        <f t="shared" si="3"/>
        <v/>
      </c>
      <c r="E76" t="str">
        <f t="shared" si="4"/>
        <v>Pending</v>
      </c>
      <c r="F76" t="str">
        <f t="shared" si="5"/>
        <v>In Progress</v>
      </c>
    </row>
    <row r="77" spans="1:6" x14ac:dyDescent="0.3">
      <c r="A77" s="11"/>
      <c r="B77" s="5" t="s">
        <v>24</v>
      </c>
      <c r="C77" s="5" t="s">
        <v>25</v>
      </c>
      <c r="D77" t="str">
        <f t="shared" si="3"/>
        <v>SOLVED_BUT_DNP</v>
      </c>
      <c r="E77" t="str">
        <f t="shared" si="4"/>
        <v>Complete</v>
      </c>
      <c r="F77" t="str">
        <f t="shared" si="5"/>
        <v>Solved</v>
      </c>
    </row>
    <row r="78" spans="1:6" x14ac:dyDescent="0.3">
      <c r="A78" s="11"/>
      <c r="B78" s="5" t="s">
        <v>24</v>
      </c>
      <c r="C78" s="5" t="s">
        <v>25</v>
      </c>
      <c r="D78" t="str">
        <f t="shared" si="3"/>
        <v>SOLVED_BUT_DNP</v>
      </c>
      <c r="E78" t="str">
        <f t="shared" si="4"/>
        <v>Complete</v>
      </c>
      <c r="F78" t="str">
        <f t="shared" si="5"/>
        <v>Solved</v>
      </c>
    </row>
    <row r="79" spans="1:6" x14ac:dyDescent="0.3">
      <c r="A79" s="11">
        <v>45928</v>
      </c>
      <c r="B79" s="5" t="s">
        <v>24</v>
      </c>
      <c r="C79" s="5" t="s">
        <v>25</v>
      </c>
      <c r="D79">
        <f t="shared" si="3"/>
        <v>45928</v>
      </c>
      <c r="E79" t="str">
        <f t="shared" si="4"/>
        <v>Complete</v>
      </c>
      <c r="F79" t="str">
        <f t="shared" si="5"/>
        <v>Solved</v>
      </c>
    </row>
    <row r="80" spans="1:6" x14ac:dyDescent="0.3">
      <c r="A80" s="11"/>
      <c r="B80" s="5" t="s">
        <v>34</v>
      </c>
      <c r="C80" s="5" t="s">
        <v>60</v>
      </c>
      <c r="D80" t="str">
        <f t="shared" si="3"/>
        <v/>
      </c>
      <c r="E80" t="str">
        <f t="shared" si="4"/>
        <v>Pending</v>
      </c>
      <c r="F80" t="str">
        <f t="shared" si="5"/>
        <v>Awaiting Action - Learner</v>
      </c>
    </row>
    <row r="81" spans="1:6" x14ac:dyDescent="0.3">
      <c r="A81" s="11">
        <v>45879</v>
      </c>
      <c r="B81" s="5" t="s">
        <v>24</v>
      </c>
      <c r="C81" s="5" t="s">
        <v>25</v>
      </c>
      <c r="D81">
        <f t="shared" si="3"/>
        <v>45879</v>
      </c>
      <c r="E81" t="str">
        <f t="shared" si="4"/>
        <v>Complete</v>
      </c>
      <c r="F81" t="str">
        <f t="shared" si="5"/>
        <v>Solved</v>
      </c>
    </row>
    <row r="82" spans="1:6" x14ac:dyDescent="0.3">
      <c r="A82" s="11">
        <v>45903</v>
      </c>
      <c r="B82" s="5" t="s">
        <v>24</v>
      </c>
      <c r="C82" s="5" t="s">
        <v>25</v>
      </c>
      <c r="D82">
        <f t="shared" si="3"/>
        <v>45903</v>
      </c>
      <c r="E82" t="str">
        <f t="shared" si="4"/>
        <v>Complete</v>
      </c>
      <c r="F82" t="str">
        <f t="shared" si="5"/>
        <v>Solved</v>
      </c>
    </row>
    <row r="83" spans="1:6" x14ac:dyDescent="0.3">
      <c r="A83" s="11">
        <v>45893</v>
      </c>
      <c r="B83" s="5" t="s">
        <v>24</v>
      </c>
      <c r="C83" s="5" t="s">
        <v>25</v>
      </c>
      <c r="D83">
        <f t="shared" si="3"/>
        <v>45893</v>
      </c>
      <c r="E83" t="str">
        <f t="shared" si="4"/>
        <v>Complete</v>
      </c>
      <c r="F83" t="str">
        <f t="shared" si="5"/>
        <v>Solved</v>
      </c>
    </row>
    <row r="84" spans="1:6" x14ac:dyDescent="0.3">
      <c r="A84" s="11">
        <v>45922</v>
      </c>
      <c r="B84" s="5" t="s">
        <v>24</v>
      </c>
      <c r="C84" s="5" t="s">
        <v>25</v>
      </c>
      <c r="D84">
        <f t="shared" si="3"/>
        <v>45922</v>
      </c>
      <c r="E84" t="str">
        <f t="shared" si="4"/>
        <v>Complete</v>
      </c>
      <c r="F84" t="str">
        <f t="shared" si="5"/>
        <v>Solved</v>
      </c>
    </row>
    <row r="85" spans="1:6" x14ac:dyDescent="0.3">
      <c r="A85" s="11"/>
      <c r="B85" s="5" t="s">
        <v>34</v>
      </c>
      <c r="C85" s="5" t="s">
        <v>35</v>
      </c>
      <c r="D85" t="str">
        <f t="shared" si="3"/>
        <v/>
      </c>
      <c r="E85" t="str">
        <f t="shared" si="4"/>
        <v>Pending</v>
      </c>
      <c r="F85" t="str">
        <f t="shared" si="5"/>
        <v>In Progress</v>
      </c>
    </row>
    <row r="86" spans="1:6" x14ac:dyDescent="0.3">
      <c r="A86" s="11">
        <v>45903</v>
      </c>
      <c r="B86" s="5" t="s">
        <v>24</v>
      </c>
      <c r="C86" s="5" t="s">
        <v>67</v>
      </c>
      <c r="D86">
        <f t="shared" si="3"/>
        <v>45903</v>
      </c>
      <c r="E86" t="str">
        <f t="shared" si="4"/>
        <v>Complete</v>
      </c>
      <c r="F86" t="str">
        <f t="shared" si="5"/>
        <v>Solved</v>
      </c>
    </row>
    <row r="87" spans="1:6" x14ac:dyDescent="0.3">
      <c r="A87" s="11">
        <v>45882</v>
      </c>
      <c r="B87" s="5" t="s">
        <v>24</v>
      </c>
      <c r="C87" s="5" t="s">
        <v>25</v>
      </c>
      <c r="D87">
        <f t="shared" si="3"/>
        <v>45882</v>
      </c>
      <c r="E87" t="str">
        <f t="shared" si="4"/>
        <v>Complete</v>
      </c>
      <c r="F87" t="str">
        <f t="shared" si="5"/>
        <v>Solved</v>
      </c>
    </row>
    <row r="88" spans="1:6" x14ac:dyDescent="0.3">
      <c r="A88" s="11">
        <v>45883</v>
      </c>
      <c r="B88" s="5" t="s">
        <v>24</v>
      </c>
      <c r="C88" s="5" t="s">
        <v>25</v>
      </c>
      <c r="D88">
        <f t="shared" si="3"/>
        <v>45883</v>
      </c>
      <c r="E88" t="str">
        <f t="shared" si="4"/>
        <v>Complete</v>
      </c>
      <c r="F88" t="str">
        <f t="shared" si="5"/>
        <v>Solved</v>
      </c>
    </row>
    <row r="89" spans="1:6" x14ac:dyDescent="0.3">
      <c r="A89" s="11">
        <v>45928</v>
      </c>
      <c r="B89" s="5" t="s">
        <v>24</v>
      </c>
      <c r="C89" s="5" t="s">
        <v>25</v>
      </c>
      <c r="D89">
        <f t="shared" si="3"/>
        <v>45928</v>
      </c>
      <c r="E89" t="str">
        <f t="shared" si="4"/>
        <v>Complete</v>
      </c>
      <c r="F89" t="str">
        <f t="shared" si="5"/>
        <v>Solved</v>
      </c>
    </row>
    <row r="90" spans="1:6" x14ac:dyDescent="0.3">
      <c r="A90" s="11">
        <v>45927</v>
      </c>
      <c r="B90" s="5" t="s">
        <v>24</v>
      </c>
      <c r="C90" s="5" t="s">
        <v>25</v>
      </c>
      <c r="D90">
        <f t="shared" si="3"/>
        <v>45927</v>
      </c>
      <c r="E90" t="str">
        <f t="shared" si="4"/>
        <v>Complete</v>
      </c>
      <c r="F90" t="str">
        <f t="shared" si="5"/>
        <v>Solved</v>
      </c>
    </row>
    <row r="91" spans="1:6" x14ac:dyDescent="0.3">
      <c r="A91" s="11">
        <v>45914</v>
      </c>
      <c r="B91" s="5" t="s">
        <v>24</v>
      </c>
      <c r="C91" s="5" t="s">
        <v>25</v>
      </c>
      <c r="D91">
        <f t="shared" si="3"/>
        <v>45914</v>
      </c>
      <c r="E91" t="str">
        <f t="shared" si="4"/>
        <v>Complete</v>
      </c>
      <c r="F91" t="str">
        <f t="shared" si="5"/>
        <v>Solved</v>
      </c>
    </row>
    <row r="92" spans="1:6" x14ac:dyDescent="0.3">
      <c r="A92" s="11"/>
      <c r="B92" s="5" t="s">
        <v>34</v>
      </c>
      <c r="C92" s="5" t="s">
        <v>60</v>
      </c>
      <c r="D92" t="str">
        <f t="shared" si="3"/>
        <v/>
      </c>
      <c r="E92" t="str">
        <f t="shared" si="4"/>
        <v>Pending</v>
      </c>
      <c r="F92" t="str">
        <f t="shared" si="5"/>
        <v>Awaiting Action - Learner</v>
      </c>
    </row>
    <row r="93" spans="1:6" x14ac:dyDescent="0.3">
      <c r="A93" s="11">
        <v>45888</v>
      </c>
      <c r="B93" s="5" t="s">
        <v>24</v>
      </c>
      <c r="C93" s="5" t="s">
        <v>25</v>
      </c>
      <c r="D93">
        <f t="shared" si="3"/>
        <v>45888</v>
      </c>
      <c r="E93" t="str">
        <f t="shared" si="4"/>
        <v>Complete</v>
      </c>
      <c r="F93" t="str">
        <f t="shared" si="5"/>
        <v>Solved</v>
      </c>
    </row>
    <row r="94" spans="1:6" x14ac:dyDescent="0.3">
      <c r="A94" s="11">
        <v>45917</v>
      </c>
      <c r="B94" s="5" t="s">
        <v>24</v>
      </c>
      <c r="C94" s="5" t="s">
        <v>25</v>
      </c>
      <c r="D94">
        <f t="shared" si="3"/>
        <v>45917</v>
      </c>
      <c r="E94" t="str">
        <f t="shared" si="4"/>
        <v>Complete</v>
      </c>
      <c r="F94" t="str">
        <f t="shared" si="5"/>
        <v>Solved</v>
      </c>
    </row>
    <row r="95" spans="1:6" x14ac:dyDescent="0.3">
      <c r="A95" s="11"/>
      <c r="B95" s="5" t="s">
        <v>34</v>
      </c>
      <c r="C95" s="5" t="s">
        <v>67</v>
      </c>
      <c r="D95" t="str">
        <f t="shared" si="3"/>
        <v/>
      </c>
      <c r="E95" t="str">
        <f t="shared" si="4"/>
        <v>Pending</v>
      </c>
      <c r="F95" t="str">
        <f t="shared" si="5"/>
        <v>Awaiting Action - Scaler</v>
      </c>
    </row>
    <row r="96" spans="1:6" x14ac:dyDescent="0.3">
      <c r="A96" s="11">
        <v>45901</v>
      </c>
      <c r="B96" s="5" t="s">
        <v>24</v>
      </c>
      <c r="C96" s="5" t="s">
        <v>25</v>
      </c>
      <c r="D96">
        <f t="shared" si="3"/>
        <v>45901</v>
      </c>
      <c r="E96" t="str">
        <f t="shared" si="4"/>
        <v>Complete</v>
      </c>
      <c r="F96" t="str">
        <f t="shared" si="5"/>
        <v>Solved</v>
      </c>
    </row>
    <row r="97" spans="1:6" x14ac:dyDescent="0.3">
      <c r="A97" s="11">
        <v>45913</v>
      </c>
      <c r="B97" s="5" t="s">
        <v>24</v>
      </c>
      <c r="C97" s="5" t="s">
        <v>35</v>
      </c>
      <c r="D97">
        <f t="shared" si="3"/>
        <v>45913</v>
      </c>
      <c r="E97" t="str">
        <f t="shared" si="4"/>
        <v>Complete</v>
      </c>
      <c r="F97" t="str">
        <f t="shared" si="5"/>
        <v>Solved</v>
      </c>
    </row>
    <row r="98" spans="1:6" x14ac:dyDescent="0.3">
      <c r="A98" s="11">
        <v>45886</v>
      </c>
      <c r="B98" s="5" t="s">
        <v>24</v>
      </c>
      <c r="C98" s="5" t="s">
        <v>25</v>
      </c>
      <c r="D98">
        <f t="shared" si="3"/>
        <v>45886</v>
      </c>
      <c r="E98" t="str">
        <f t="shared" si="4"/>
        <v>Complete</v>
      </c>
      <c r="F98" t="str">
        <f t="shared" si="5"/>
        <v>Solved</v>
      </c>
    </row>
    <row r="99" spans="1:6" x14ac:dyDescent="0.3">
      <c r="A99" s="11"/>
      <c r="B99" s="5" t="s">
        <v>34</v>
      </c>
      <c r="C99" s="5" t="s">
        <v>60</v>
      </c>
      <c r="D99" t="str">
        <f t="shared" si="3"/>
        <v/>
      </c>
      <c r="E99" t="str">
        <f t="shared" si="4"/>
        <v>Pending</v>
      </c>
      <c r="F99" t="str">
        <f t="shared" si="5"/>
        <v>Awaiting Action - Learner</v>
      </c>
    </row>
    <row r="100" spans="1:6" x14ac:dyDescent="0.3">
      <c r="A100" s="11">
        <v>45921</v>
      </c>
      <c r="B100" s="5" t="s">
        <v>24</v>
      </c>
      <c r="C100" s="5" t="s">
        <v>25</v>
      </c>
      <c r="D100">
        <f t="shared" si="3"/>
        <v>45921</v>
      </c>
      <c r="E100" t="str">
        <f t="shared" si="4"/>
        <v>Complete</v>
      </c>
      <c r="F100" t="str">
        <f t="shared" si="5"/>
        <v>Solved</v>
      </c>
    </row>
    <row r="101" spans="1:6" x14ac:dyDescent="0.3">
      <c r="A101" s="11">
        <v>45900</v>
      </c>
      <c r="B101" s="5" t="s">
        <v>24</v>
      </c>
      <c r="C101" s="5" t="s">
        <v>25</v>
      </c>
      <c r="D101">
        <f t="shared" si="3"/>
        <v>45900</v>
      </c>
      <c r="E101" t="str">
        <f t="shared" si="4"/>
        <v>Complete</v>
      </c>
      <c r="F101" t="str">
        <f t="shared" si="5"/>
        <v>Solved</v>
      </c>
    </row>
    <row r="102" spans="1:6" x14ac:dyDescent="0.3">
      <c r="A102" s="11">
        <v>45892</v>
      </c>
      <c r="B102" s="5" t="s">
        <v>24</v>
      </c>
      <c r="C102" s="5" t="s">
        <v>25</v>
      </c>
      <c r="D102">
        <f t="shared" si="3"/>
        <v>45892</v>
      </c>
      <c r="E102" t="str">
        <f t="shared" si="4"/>
        <v>Complete</v>
      </c>
      <c r="F102" t="str">
        <f t="shared" si="5"/>
        <v>Solved</v>
      </c>
    </row>
    <row r="103" spans="1:6" x14ac:dyDescent="0.3">
      <c r="A103" s="11">
        <v>45893</v>
      </c>
      <c r="B103" s="5" t="s">
        <v>24</v>
      </c>
      <c r="C103" s="5" t="s">
        <v>25</v>
      </c>
      <c r="D103">
        <f t="shared" si="3"/>
        <v>45893</v>
      </c>
      <c r="E103" t="str">
        <f t="shared" si="4"/>
        <v>Complete</v>
      </c>
      <c r="F103" t="str">
        <f t="shared" si="5"/>
        <v>Solved</v>
      </c>
    </row>
    <row r="104" spans="1:6" x14ac:dyDescent="0.3">
      <c r="A104" s="11"/>
      <c r="B104" s="5" t="s">
        <v>24</v>
      </c>
      <c r="C104" s="5" t="s">
        <v>25</v>
      </c>
      <c r="D104" t="str">
        <f t="shared" si="3"/>
        <v>SOLVED_BUT_DNP</v>
      </c>
      <c r="E104" t="str">
        <f t="shared" si="4"/>
        <v>Complete</v>
      </c>
      <c r="F104" t="str">
        <f t="shared" si="5"/>
        <v>Solved</v>
      </c>
    </row>
    <row r="105" spans="1:6" x14ac:dyDescent="0.3">
      <c r="A105" s="11">
        <v>45914</v>
      </c>
      <c r="B105" s="5" t="s">
        <v>24</v>
      </c>
      <c r="C105" s="5" t="s">
        <v>25</v>
      </c>
      <c r="D105">
        <f t="shared" si="3"/>
        <v>45914</v>
      </c>
      <c r="E105" t="str">
        <f t="shared" si="4"/>
        <v>Complete</v>
      </c>
      <c r="F105" t="str">
        <f t="shared" si="5"/>
        <v>Solved</v>
      </c>
    </row>
    <row r="106" spans="1:6" x14ac:dyDescent="0.3">
      <c r="A106" s="11"/>
      <c r="B106" s="5" t="s">
        <v>34</v>
      </c>
      <c r="C106" s="5" t="s">
        <v>67</v>
      </c>
      <c r="D106" t="str">
        <f t="shared" si="3"/>
        <v/>
      </c>
      <c r="E106" t="str">
        <f t="shared" si="4"/>
        <v>Pending</v>
      </c>
      <c r="F106" t="str">
        <f t="shared" si="5"/>
        <v>Awaiting Action - Scaler</v>
      </c>
    </row>
    <row r="107" spans="1:6" x14ac:dyDescent="0.3">
      <c r="A107" s="11">
        <v>45888</v>
      </c>
      <c r="B107" s="5" t="s">
        <v>24</v>
      </c>
      <c r="C107" s="5" t="s">
        <v>25</v>
      </c>
      <c r="D107">
        <f t="shared" si="3"/>
        <v>45888</v>
      </c>
      <c r="E107" t="str">
        <f t="shared" si="4"/>
        <v>Complete</v>
      </c>
      <c r="F107" t="str">
        <f t="shared" si="5"/>
        <v>Solved</v>
      </c>
    </row>
    <row r="108" spans="1:6" x14ac:dyDescent="0.3">
      <c r="A108" s="11">
        <v>45882</v>
      </c>
      <c r="B108" s="5" t="s">
        <v>24</v>
      </c>
      <c r="C108" s="5" t="s">
        <v>25</v>
      </c>
      <c r="D108">
        <f t="shared" si="3"/>
        <v>45882</v>
      </c>
      <c r="E108" t="str">
        <f t="shared" si="4"/>
        <v>Complete</v>
      </c>
      <c r="F108" t="str">
        <f t="shared" si="5"/>
        <v>Solved</v>
      </c>
    </row>
    <row r="109" spans="1:6" x14ac:dyDescent="0.3">
      <c r="A109" s="11">
        <v>45913</v>
      </c>
      <c r="B109" s="5" t="s">
        <v>24</v>
      </c>
      <c r="C109" s="5" t="s">
        <v>35</v>
      </c>
      <c r="D109">
        <f t="shared" si="3"/>
        <v>45913</v>
      </c>
      <c r="E109" t="str">
        <f t="shared" si="4"/>
        <v>Complete</v>
      </c>
      <c r="F109" t="str">
        <f t="shared" si="5"/>
        <v>Solved</v>
      </c>
    </row>
    <row r="110" spans="1:6" x14ac:dyDescent="0.3">
      <c r="A110" s="11">
        <v>45927</v>
      </c>
      <c r="B110" s="5" t="s">
        <v>24</v>
      </c>
      <c r="C110" s="5" t="s">
        <v>25</v>
      </c>
      <c r="D110">
        <f t="shared" si="3"/>
        <v>45927</v>
      </c>
      <c r="E110" t="str">
        <f t="shared" si="4"/>
        <v>Complete</v>
      </c>
      <c r="F110" t="str">
        <f t="shared" si="5"/>
        <v>Solved</v>
      </c>
    </row>
    <row r="111" spans="1:6" x14ac:dyDescent="0.3">
      <c r="A111" s="11"/>
      <c r="B111" s="5" t="s">
        <v>34</v>
      </c>
      <c r="C111" s="5" t="s">
        <v>35</v>
      </c>
      <c r="D111" t="str">
        <f t="shared" si="3"/>
        <v/>
      </c>
      <c r="E111" t="str">
        <f t="shared" si="4"/>
        <v>Pending</v>
      </c>
      <c r="F111" t="str">
        <f t="shared" si="5"/>
        <v>In Progress</v>
      </c>
    </row>
    <row r="112" spans="1:6" x14ac:dyDescent="0.3">
      <c r="A112" s="11">
        <v>45920</v>
      </c>
      <c r="B112" s="5" t="s">
        <v>24</v>
      </c>
      <c r="C112" s="5" t="s">
        <v>25</v>
      </c>
      <c r="D112">
        <f t="shared" si="3"/>
        <v>45920</v>
      </c>
      <c r="E112" t="str">
        <f t="shared" si="4"/>
        <v>Complete</v>
      </c>
      <c r="F112" t="str">
        <f t="shared" si="5"/>
        <v>Solved</v>
      </c>
    </row>
    <row r="113" spans="1:6" x14ac:dyDescent="0.3">
      <c r="A113" s="11"/>
      <c r="B113" s="5" t="s">
        <v>34</v>
      </c>
      <c r="C113" s="5" t="s">
        <v>67</v>
      </c>
      <c r="D113" t="str">
        <f t="shared" si="3"/>
        <v/>
      </c>
      <c r="E113" t="str">
        <f t="shared" si="4"/>
        <v>Pending</v>
      </c>
      <c r="F113" t="str">
        <f t="shared" si="5"/>
        <v>Awaiting Action - Scaler</v>
      </c>
    </row>
    <row r="114" spans="1:6" x14ac:dyDescent="0.3">
      <c r="A114" s="11"/>
      <c r="B114" s="5" t="s">
        <v>24</v>
      </c>
      <c r="C114" s="5" t="s">
        <v>25</v>
      </c>
      <c r="D114" t="str">
        <f t="shared" si="3"/>
        <v>SOLVED_BUT_DNP</v>
      </c>
      <c r="E114" t="str">
        <f t="shared" si="4"/>
        <v>Complete</v>
      </c>
      <c r="F114" t="str">
        <f t="shared" si="5"/>
        <v>Solved</v>
      </c>
    </row>
    <row r="115" spans="1:6" x14ac:dyDescent="0.3">
      <c r="A115" s="11">
        <v>45904</v>
      </c>
      <c r="B115" s="5" t="s">
        <v>24</v>
      </c>
      <c r="C115" s="5" t="s">
        <v>25</v>
      </c>
      <c r="D115">
        <f t="shared" si="3"/>
        <v>45904</v>
      </c>
      <c r="E115" t="str">
        <f t="shared" si="4"/>
        <v>Complete</v>
      </c>
      <c r="F115" t="str">
        <f t="shared" si="5"/>
        <v>Solved</v>
      </c>
    </row>
    <row r="116" spans="1:6" x14ac:dyDescent="0.3">
      <c r="A116" s="11"/>
      <c r="B116" s="5" t="s">
        <v>34</v>
      </c>
      <c r="C116" s="5" t="s">
        <v>67</v>
      </c>
      <c r="D116" t="str">
        <f t="shared" si="3"/>
        <v/>
      </c>
      <c r="E116" t="str">
        <f t="shared" si="4"/>
        <v>Pending</v>
      </c>
      <c r="F116" t="str">
        <f t="shared" si="5"/>
        <v>Awaiting Action - Scaler</v>
      </c>
    </row>
    <row r="117" spans="1:6" x14ac:dyDescent="0.3">
      <c r="A117" s="11">
        <v>45902</v>
      </c>
      <c r="B117" s="5" t="s">
        <v>24</v>
      </c>
      <c r="C117" s="5" t="s">
        <v>25</v>
      </c>
      <c r="D117">
        <f t="shared" si="3"/>
        <v>45902</v>
      </c>
      <c r="E117" t="str">
        <f t="shared" si="4"/>
        <v>Complete</v>
      </c>
      <c r="F117" t="str">
        <f t="shared" si="5"/>
        <v>Solved</v>
      </c>
    </row>
    <row r="118" spans="1:6" x14ac:dyDescent="0.3">
      <c r="A118" s="11">
        <v>45922</v>
      </c>
      <c r="B118" s="5" t="s">
        <v>24</v>
      </c>
      <c r="C118" s="5" t="s">
        <v>25</v>
      </c>
      <c r="D118">
        <f t="shared" si="3"/>
        <v>45922</v>
      </c>
      <c r="E118" t="str">
        <f t="shared" si="4"/>
        <v>Complete</v>
      </c>
      <c r="F118" t="str">
        <f t="shared" si="5"/>
        <v>Solved</v>
      </c>
    </row>
    <row r="119" spans="1:6" x14ac:dyDescent="0.3">
      <c r="A119" s="11">
        <v>45879</v>
      </c>
      <c r="B119" s="5" t="s">
        <v>24</v>
      </c>
      <c r="C119" s="5" t="s">
        <v>25</v>
      </c>
      <c r="D119">
        <f t="shared" si="3"/>
        <v>45879</v>
      </c>
      <c r="E119" t="str">
        <f t="shared" si="4"/>
        <v>Complete</v>
      </c>
      <c r="F119" t="str">
        <f t="shared" si="5"/>
        <v>Solved</v>
      </c>
    </row>
    <row r="120" spans="1:6" x14ac:dyDescent="0.3">
      <c r="A120" s="11"/>
      <c r="B120" s="5" t="s">
        <v>24</v>
      </c>
      <c r="C120" s="5" t="s">
        <v>25</v>
      </c>
      <c r="D120" t="str">
        <f t="shared" si="3"/>
        <v>SOLVED_BUT_DNP</v>
      </c>
      <c r="E120" t="str">
        <f t="shared" si="4"/>
        <v>Complete</v>
      </c>
      <c r="F120" t="str">
        <f t="shared" si="5"/>
        <v>Solved</v>
      </c>
    </row>
    <row r="121" spans="1:6" x14ac:dyDescent="0.3">
      <c r="A121" s="11"/>
      <c r="B121" s="5" t="s">
        <v>34</v>
      </c>
      <c r="C121" s="5" t="s">
        <v>60</v>
      </c>
      <c r="D121" t="str">
        <f t="shared" si="3"/>
        <v/>
      </c>
      <c r="E121" t="str">
        <f t="shared" si="4"/>
        <v>Pending</v>
      </c>
      <c r="F121" t="str">
        <f t="shared" si="5"/>
        <v>Awaiting Action - Learner</v>
      </c>
    </row>
    <row r="122" spans="1:6" x14ac:dyDescent="0.3">
      <c r="A122" s="11">
        <v>45928</v>
      </c>
      <c r="B122" s="5" t="s">
        <v>24</v>
      </c>
      <c r="C122" s="5" t="s">
        <v>25</v>
      </c>
      <c r="D122">
        <f t="shared" si="3"/>
        <v>45928</v>
      </c>
      <c r="E122" t="str">
        <f t="shared" si="4"/>
        <v>Complete</v>
      </c>
      <c r="F122" t="str">
        <f t="shared" si="5"/>
        <v>Solved</v>
      </c>
    </row>
    <row r="123" spans="1:6" x14ac:dyDescent="0.3">
      <c r="A123" s="11">
        <v>45902</v>
      </c>
      <c r="B123" s="5" t="s">
        <v>24</v>
      </c>
      <c r="C123" s="5" t="s">
        <v>25</v>
      </c>
      <c r="D123">
        <f t="shared" si="3"/>
        <v>45902</v>
      </c>
      <c r="E123" t="str">
        <f t="shared" si="4"/>
        <v>Complete</v>
      </c>
      <c r="F123" t="str">
        <f t="shared" si="5"/>
        <v>Solved</v>
      </c>
    </row>
    <row r="124" spans="1:6" x14ac:dyDescent="0.3">
      <c r="A124" s="11">
        <v>45922</v>
      </c>
      <c r="B124" s="5" t="s">
        <v>24</v>
      </c>
      <c r="C124" s="5" t="s">
        <v>25</v>
      </c>
      <c r="D124">
        <f t="shared" si="3"/>
        <v>45922</v>
      </c>
      <c r="E124" t="str">
        <f t="shared" si="4"/>
        <v>Complete</v>
      </c>
      <c r="F124" t="str">
        <f t="shared" si="5"/>
        <v>Solved</v>
      </c>
    </row>
    <row r="125" spans="1:6" x14ac:dyDescent="0.3">
      <c r="A125" s="11">
        <v>45875</v>
      </c>
      <c r="B125" s="5" t="s">
        <v>24</v>
      </c>
      <c r="C125" s="5" t="s">
        <v>25</v>
      </c>
      <c r="D125">
        <f t="shared" si="3"/>
        <v>45875</v>
      </c>
      <c r="E125" t="str">
        <f t="shared" si="4"/>
        <v>Complete</v>
      </c>
      <c r="F125" t="str">
        <f t="shared" si="5"/>
        <v>Solved</v>
      </c>
    </row>
    <row r="126" spans="1:6" x14ac:dyDescent="0.3">
      <c r="A126" s="11">
        <v>45907</v>
      </c>
      <c r="B126" s="5" t="s">
        <v>24</v>
      </c>
      <c r="C126" s="5" t="s">
        <v>25</v>
      </c>
      <c r="D126">
        <f t="shared" si="3"/>
        <v>45907</v>
      </c>
      <c r="E126" t="str">
        <f t="shared" si="4"/>
        <v>Complete</v>
      </c>
      <c r="F126" t="str">
        <f t="shared" si="5"/>
        <v>Solved</v>
      </c>
    </row>
    <row r="127" spans="1:6" x14ac:dyDescent="0.3">
      <c r="A127" s="11">
        <v>45896</v>
      </c>
      <c r="B127" s="5" t="s">
        <v>24</v>
      </c>
      <c r="C127" s="5" t="s">
        <v>25</v>
      </c>
      <c r="D127">
        <f t="shared" si="3"/>
        <v>45896</v>
      </c>
      <c r="E127" t="str">
        <f t="shared" si="4"/>
        <v>Complete</v>
      </c>
      <c r="F127" t="str">
        <f t="shared" si="5"/>
        <v>Solved</v>
      </c>
    </row>
    <row r="128" spans="1:6" x14ac:dyDescent="0.3">
      <c r="A128" s="11">
        <v>45874</v>
      </c>
      <c r="B128" s="5" t="s">
        <v>24</v>
      </c>
      <c r="C128" s="5" t="s">
        <v>25</v>
      </c>
      <c r="D128">
        <f t="shared" si="3"/>
        <v>45874</v>
      </c>
      <c r="E128" t="str">
        <f t="shared" si="4"/>
        <v>Complete</v>
      </c>
      <c r="F128" t="str">
        <f t="shared" si="5"/>
        <v>Solved</v>
      </c>
    </row>
    <row r="129" spans="1:6" x14ac:dyDescent="0.3">
      <c r="A129" s="11">
        <v>45919</v>
      </c>
      <c r="B129" s="5" t="s">
        <v>24</v>
      </c>
      <c r="C129" s="5" t="s">
        <v>25</v>
      </c>
      <c r="D129">
        <f t="shared" si="3"/>
        <v>45919</v>
      </c>
      <c r="E129" t="str">
        <f t="shared" si="4"/>
        <v>Complete</v>
      </c>
      <c r="F129" t="str">
        <f t="shared" si="5"/>
        <v>Solved</v>
      </c>
    </row>
    <row r="130" spans="1:6" x14ac:dyDescent="0.3">
      <c r="A130" s="11">
        <v>45901</v>
      </c>
      <c r="B130" s="5" t="s">
        <v>24</v>
      </c>
      <c r="C130" s="5" t="s">
        <v>25</v>
      </c>
      <c r="D130">
        <f t="shared" si="3"/>
        <v>45901</v>
      </c>
      <c r="E130" t="str">
        <f t="shared" si="4"/>
        <v>Complete</v>
      </c>
      <c r="F130" t="str">
        <f t="shared" si="5"/>
        <v>Solved</v>
      </c>
    </row>
    <row r="131" spans="1:6" x14ac:dyDescent="0.3">
      <c r="A131" s="11">
        <v>45883</v>
      </c>
      <c r="B131" s="5" t="s">
        <v>24</v>
      </c>
      <c r="C131" s="5" t="s">
        <v>25</v>
      </c>
      <c r="D131">
        <f t="shared" ref="D131:D194" si="6">IF(A131&lt;&gt;"",A131,
    IF(AND(A131="",B131="Complete"),"SOLVED_BUT_DNP",
    IF(AND(A131="",B131="Pending"),"",
    IF(AND(A131="",B131="",C131&lt;&gt;""),"",
    ""))))</f>
        <v>45883</v>
      </c>
      <c r="E131" t="str">
        <f t="shared" ref="E131:E194" si="7">IF(A131&lt;&gt;"","Complete",
    IF(AND(A131="",B131="Complete"),"Complete",
    IF(AND(A131="",B131="",C131&lt;&gt;""),"Pending",
    IF(AND(A131="",B131="",C131=""),"Pending",
    B131))))</f>
        <v>Complete</v>
      </c>
      <c r="F131" t="str">
        <f t="shared" ref="F131:F194" si="8">IF(A131&lt;&gt;"","Solved",
    IF(AND(A131="",B131="Complete"),"Solved",
    IF(AND(A131="",B131="",C131&lt;&gt;""),C131,
    IF(AND(A131="",B131="",C131=""),"not_present",
    C131))))</f>
        <v>Solved</v>
      </c>
    </row>
    <row r="132" spans="1:6" x14ac:dyDescent="0.3">
      <c r="A132" s="11">
        <v>45884</v>
      </c>
      <c r="B132" s="5" t="s">
        <v>24</v>
      </c>
      <c r="C132" s="5" t="s">
        <v>25</v>
      </c>
      <c r="D132">
        <f t="shared" si="6"/>
        <v>45884</v>
      </c>
      <c r="E132" t="str">
        <f t="shared" si="7"/>
        <v>Complete</v>
      </c>
      <c r="F132" t="str">
        <f t="shared" si="8"/>
        <v>Solved</v>
      </c>
    </row>
    <row r="133" spans="1:6" x14ac:dyDescent="0.3">
      <c r="A133" s="11"/>
      <c r="B133" s="5" t="s">
        <v>34</v>
      </c>
      <c r="C133" s="5" t="s">
        <v>35</v>
      </c>
      <c r="D133" t="str">
        <f t="shared" si="6"/>
        <v/>
      </c>
      <c r="E133" t="str">
        <f t="shared" si="7"/>
        <v>Pending</v>
      </c>
      <c r="F133" t="str">
        <f t="shared" si="8"/>
        <v>In Progress</v>
      </c>
    </row>
    <row r="134" spans="1:6" x14ac:dyDescent="0.3">
      <c r="A134" s="11"/>
      <c r="B134" s="5" t="s">
        <v>34</v>
      </c>
      <c r="C134" s="5" t="s">
        <v>35</v>
      </c>
      <c r="D134" t="str">
        <f t="shared" si="6"/>
        <v/>
      </c>
      <c r="E134" t="str">
        <f t="shared" si="7"/>
        <v>Pending</v>
      </c>
      <c r="F134" t="str">
        <f t="shared" si="8"/>
        <v>In Progress</v>
      </c>
    </row>
    <row r="135" spans="1:6" x14ac:dyDescent="0.3">
      <c r="A135" s="11"/>
      <c r="B135" s="5" t="s">
        <v>34</v>
      </c>
      <c r="C135" s="5" t="s">
        <v>35</v>
      </c>
      <c r="D135" t="str">
        <f t="shared" si="6"/>
        <v/>
      </c>
      <c r="E135" t="str">
        <f t="shared" si="7"/>
        <v>Pending</v>
      </c>
      <c r="F135" t="str">
        <f t="shared" si="8"/>
        <v>In Progress</v>
      </c>
    </row>
    <row r="136" spans="1:6" x14ac:dyDescent="0.3">
      <c r="A136" s="11">
        <v>45921</v>
      </c>
      <c r="B136" s="5" t="s">
        <v>24</v>
      </c>
      <c r="C136" s="5" t="s">
        <v>25</v>
      </c>
      <c r="D136">
        <f t="shared" si="6"/>
        <v>45921</v>
      </c>
      <c r="E136" t="str">
        <f t="shared" si="7"/>
        <v>Complete</v>
      </c>
      <c r="F136" t="str">
        <f t="shared" si="8"/>
        <v>Solved</v>
      </c>
    </row>
    <row r="137" spans="1:6" x14ac:dyDescent="0.3">
      <c r="A137" s="11">
        <v>45913</v>
      </c>
      <c r="B137" s="5" t="s">
        <v>24</v>
      </c>
      <c r="C137" s="5" t="s">
        <v>25</v>
      </c>
      <c r="D137">
        <f t="shared" si="6"/>
        <v>45913</v>
      </c>
      <c r="E137" t="str">
        <f t="shared" si="7"/>
        <v>Complete</v>
      </c>
      <c r="F137" t="str">
        <f t="shared" si="8"/>
        <v>Solved</v>
      </c>
    </row>
    <row r="138" spans="1:6" x14ac:dyDescent="0.3">
      <c r="A138" s="11"/>
      <c r="B138" s="5" t="s">
        <v>34</v>
      </c>
      <c r="C138" s="5" t="s">
        <v>60</v>
      </c>
      <c r="D138" t="str">
        <f t="shared" si="6"/>
        <v/>
      </c>
      <c r="E138" t="str">
        <f t="shared" si="7"/>
        <v>Pending</v>
      </c>
      <c r="F138" t="str">
        <f t="shared" si="8"/>
        <v>Awaiting Action - Learner</v>
      </c>
    </row>
    <row r="139" spans="1:6" x14ac:dyDescent="0.3">
      <c r="A139" s="11"/>
      <c r="B139" s="5" t="s">
        <v>34</v>
      </c>
      <c r="C139" s="5" t="s">
        <v>35</v>
      </c>
      <c r="D139" t="str">
        <f t="shared" si="6"/>
        <v/>
      </c>
      <c r="E139" t="str">
        <f t="shared" si="7"/>
        <v>Pending</v>
      </c>
      <c r="F139" t="str">
        <f t="shared" si="8"/>
        <v>In Progress</v>
      </c>
    </row>
    <row r="140" spans="1:6" x14ac:dyDescent="0.3">
      <c r="A140" s="11">
        <v>45899</v>
      </c>
      <c r="B140" s="5" t="s">
        <v>24</v>
      </c>
      <c r="C140" s="5" t="s">
        <v>25</v>
      </c>
      <c r="D140">
        <f t="shared" si="6"/>
        <v>45899</v>
      </c>
      <c r="E140" t="str">
        <f t="shared" si="7"/>
        <v>Complete</v>
      </c>
      <c r="F140" t="str">
        <f t="shared" si="8"/>
        <v>Solved</v>
      </c>
    </row>
    <row r="141" spans="1:6" x14ac:dyDescent="0.3">
      <c r="A141" s="11">
        <v>45895</v>
      </c>
      <c r="B141" s="5" t="s">
        <v>24</v>
      </c>
      <c r="C141" s="5" t="s">
        <v>25</v>
      </c>
      <c r="D141">
        <f t="shared" si="6"/>
        <v>45895</v>
      </c>
      <c r="E141" t="str">
        <f t="shared" si="7"/>
        <v>Complete</v>
      </c>
      <c r="F141" t="str">
        <f t="shared" si="8"/>
        <v>Solved</v>
      </c>
    </row>
    <row r="142" spans="1:6" x14ac:dyDescent="0.3">
      <c r="A142" s="11"/>
      <c r="B142" s="5" t="s">
        <v>34</v>
      </c>
      <c r="C142" s="5" t="s">
        <v>35</v>
      </c>
      <c r="D142" t="str">
        <f t="shared" si="6"/>
        <v/>
      </c>
      <c r="E142" t="str">
        <f t="shared" si="7"/>
        <v>Pending</v>
      </c>
      <c r="F142" t="str">
        <f t="shared" si="8"/>
        <v>In Progress</v>
      </c>
    </row>
    <row r="143" spans="1:6" x14ac:dyDescent="0.3">
      <c r="A143" s="11">
        <v>45895</v>
      </c>
      <c r="B143" s="5" t="s">
        <v>24</v>
      </c>
      <c r="C143" s="5" t="s">
        <v>25</v>
      </c>
      <c r="D143">
        <f t="shared" si="6"/>
        <v>45895</v>
      </c>
      <c r="E143" t="str">
        <f t="shared" si="7"/>
        <v>Complete</v>
      </c>
      <c r="F143" t="str">
        <f t="shared" si="8"/>
        <v>Solved</v>
      </c>
    </row>
    <row r="144" spans="1:6" x14ac:dyDescent="0.3">
      <c r="A144" s="11"/>
      <c r="B144" s="5" t="s">
        <v>34</v>
      </c>
      <c r="C144" s="5" t="s">
        <v>35</v>
      </c>
      <c r="D144" t="str">
        <f t="shared" si="6"/>
        <v/>
      </c>
      <c r="E144" t="str">
        <f t="shared" si="7"/>
        <v>Pending</v>
      </c>
      <c r="F144" t="str">
        <f t="shared" si="8"/>
        <v>In Progress</v>
      </c>
    </row>
    <row r="145" spans="1:6" x14ac:dyDescent="0.3">
      <c r="A145" s="11">
        <v>45914</v>
      </c>
      <c r="B145" s="5" t="s">
        <v>24</v>
      </c>
      <c r="C145" s="5" t="s">
        <v>25</v>
      </c>
      <c r="D145">
        <f t="shared" si="6"/>
        <v>45914</v>
      </c>
      <c r="E145" t="str">
        <f t="shared" si="7"/>
        <v>Complete</v>
      </c>
      <c r="F145" t="str">
        <f t="shared" si="8"/>
        <v>Solved</v>
      </c>
    </row>
    <row r="146" spans="1:6" x14ac:dyDescent="0.3">
      <c r="A146" s="11"/>
      <c r="B146" s="5" t="s">
        <v>34</v>
      </c>
      <c r="C146" s="5" t="s">
        <v>35</v>
      </c>
      <c r="D146" t="str">
        <f t="shared" si="6"/>
        <v/>
      </c>
      <c r="E146" t="str">
        <f t="shared" si="7"/>
        <v>Pending</v>
      </c>
      <c r="F146" t="str">
        <f t="shared" si="8"/>
        <v>In Progress</v>
      </c>
    </row>
    <row r="147" spans="1:6" x14ac:dyDescent="0.3">
      <c r="A147" s="11">
        <v>45894</v>
      </c>
      <c r="B147" s="5" t="s">
        <v>24</v>
      </c>
      <c r="C147" s="5" t="s">
        <v>25</v>
      </c>
      <c r="D147">
        <f t="shared" si="6"/>
        <v>45894</v>
      </c>
      <c r="E147" t="str">
        <f t="shared" si="7"/>
        <v>Complete</v>
      </c>
      <c r="F147" t="str">
        <f t="shared" si="8"/>
        <v>Solved</v>
      </c>
    </row>
    <row r="148" spans="1:6" x14ac:dyDescent="0.3">
      <c r="A148" s="11">
        <v>45881</v>
      </c>
      <c r="B148" s="5" t="s">
        <v>24</v>
      </c>
      <c r="C148" s="5" t="s">
        <v>25</v>
      </c>
      <c r="D148">
        <f t="shared" si="6"/>
        <v>45881</v>
      </c>
      <c r="E148" t="str">
        <f t="shared" si="7"/>
        <v>Complete</v>
      </c>
      <c r="F148" t="str">
        <f t="shared" si="8"/>
        <v>Solved</v>
      </c>
    </row>
    <row r="149" spans="1:6" x14ac:dyDescent="0.3">
      <c r="A149" s="11">
        <v>45895</v>
      </c>
      <c r="B149" s="5" t="s">
        <v>24</v>
      </c>
      <c r="C149" s="5" t="s">
        <v>25</v>
      </c>
      <c r="D149">
        <f t="shared" si="6"/>
        <v>45895</v>
      </c>
      <c r="E149" t="str">
        <f t="shared" si="7"/>
        <v>Complete</v>
      </c>
      <c r="F149" t="str">
        <f t="shared" si="8"/>
        <v>Solved</v>
      </c>
    </row>
    <row r="150" spans="1:6" x14ac:dyDescent="0.3">
      <c r="A150" s="11">
        <v>45885</v>
      </c>
      <c r="B150" s="5" t="s">
        <v>24</v>
      </c>
      <c r="C150" s="5" t="s">
        <v>25</v>
      </c>
      <c r="D150">
        <f t="shared" si="6"/>
        <v>45885</v>
      </c>
      <c r="E150" t="str">
        <f t="shared" si="7"/>
        <v>Complete</v>
      </c>
      <c r="F150" t="str">
        <f t="shared" si="8"/>
        <v>Solved</v>
      </c>
    </row>
    <row r="151" spans="1:6" x14ac:dyDescent="0.3">
      <c r="A151" s="11">
        <v>45920</v>
      </c>
      <c r="B151" s="5" t="s">
        <v>24</v>
      </c>
      <c r="C151" s="5" t="s">
        <v>67</v>
      </c>
      <c r="D151">
        <f t="shared" si="6"/>
        <v>45920</v>
      </c>
      <c r="E151" t="str">
        <f t="shared" si="7"/>
        <v>Complete</v>
      </c>
      <c r="F151" t="str">
        <f t="shared" si="8"/>
        <v>Solved</v>
      </c>
    </row>
    <row r="152" spans="1:6" x14ac:dyDescent="0.3">
      <c r="A152" s="11">
        <v>45891</v>
      </c>
      <c r="B152" s="5" t="s">
        <v>24</v>
      </c>
      <c r="C152" s="5" t="s">
        <v>25</v>
      </c>
      <c r="D152">
        <f t="shared" si="6"/>
        <v>45891</v>
      </c>
      <c r="E152" t="str">
        <f t="shared" si="7"/>
        <v>Complete</v>
      </c>
      <c r="F152" t="str">
        <f t="shared" si="8"/>
        <v>Solved</v>
      </c>
    </row>
    <row r="153" spans="1:6" x14ac:dyDescent="0.3">
      <c r="A153" s="11">
        <v>45900</v>
      </c>
      <c r="B153" s="5" t="s">
        <v>24</v>
      </c>
      <c r="C153" s="5" t="s">
        <v>25</v>
      </c>
      <c r="D153">
        <f t="shared" si="6"/>
        <v>45900</v>
      </c>
      <c r="E153" t="str">
        <f t="shared" si="7"/>
        <v>Complete</v>
      </c>
      <c r="F153" t="str">
        <f t="shared" si="8"/>
        <v>Solved</v>
      </c>
    </row>
    <row r="154" spans="1:6" x14ac:dyDescent="0.3">
      <c r="A154" s="11"/>
      <c r="B154" s="5" t="s">
        <v>34</v>
      </c>
      <c r="C154" s="5" t="s">
        <v>35</v>
      </c>
      <c r="D154" t="str">
        <f t="shared" si="6"/>
        <v/>
      </c>
      <c r="E154" t="str">
        <f t="shared" si="7"/>
        <v>Pending</v>
      </c>
      <c r="F154" t="str">
        <f t="shared" si="8"/>
        <v>In Progress</v>
      </c>
    </row>
    <row r="155" spans="1:6" x14ac:dyDescent="0.3">
      <c r="A155" s="11">
        <v>45917</v>
      </c>
      <c r="B155" s="5" t="s">
        <v>24</v>
      </c>
      <c r="C155" s="5" t="s">
        <v>25</v>
      </c>
      <c r="D155">
        <f t="shared" si="6"/>
        <v>45917</v>
      </c>
      <c r="E155" t="str">
        <f t="shared" si="7"/>
        <v>Complete</v>
      </c>
      <c r="F155" t="str">
        <f t="shared" si="8"/>
        <v>Solved</v>
      </c>
    </row>
    <row r="156" spans="1:6" x14ac:dyDescent="0.3">
      <c r="A156" s="11"/>
      <c r="B156" s="5" t="s">
        <v>34</v>
      </c>
      <c r="C156" s="5" t="s">
        <v>35</v>
      </c>
      <c r="D156" t="str">
        <f t="shared" si="6"/>
        <v/>
      </c>
      <c r="E156" t="str">
        <f t="shared" si="7"/>
        <v>Pending</v>
      </c>
      <c r="F156" t="str">
        <f t="shared" si="8"/>
        <v>In Progress</v>
      </c>
    </row>
    <row r="157" spans="1:6" x14ac:dyDescent="0.3">
      <c r="A157" s="11">
        <v>45895</v>
      </c>
      <c r="B157" s="5" t="s">
        <v>24</v>
      </c>
      <c r="C157" s="5" t="s">
        <v>25</v>
      </c>
      <c r="D157">
        <f t="shared" si="6"/>
        <v>45895</v>
      </c>
      <c r="E157" t="str">
        <f t="shared" si="7"/>
        <v>Complete</v>
      </c>
      <c r="F157" t="str">
        <f t="shared" si="8"/>
        <v>Solved</v>
      </c>
    </row>
    <row r="158" spans="1:6" x14ac:dyDescent="0.3">
      <c r="A158" s="11">
        <v>45883</v>
      </c>
      <c r="B158" s="5" t="s">
        <v>24</v>
      </c>
      <c r="C158" s="5" t="s">
        <v>25</v>
      </c>
      <c r="D158">
        <f t="shared" si="6"/>
        <v>45883</v>
      </c>
      <c r="E158" t="str">
        <f t="shared" si="7"/>
        <v>Complete</v>
      </c>
      <c r="F158" t="str">
        <f t="shared" si="8"/>
        <v>Solved</v>
      </c>
    </row>
    <row r="159" spans="1:6" x14ac:dyDescent="0.3">
      <c r="A159" s="11">
        <v>45921</v>
      </c>
      <c r="B159" s="5" t="s">
        <v>24</v>
      </c>
      <c r="C159" s="5" t="s">
        <v>25</v>
      </c>
      <c r="D159">
        <f t="shared" si="6"/>
        <v>45921</v>
      </c>
      <c r="E159" t="str">
        <f t="shared" si="7"/>
        <v>Complete</v>
      </c>
      <c r="F159" t="str">
        <f t="shared" si="8"/>
        <v>Solved</v>
      </c>
    </row>
    <row r="160" spans="1:6" x14ac:dyDescent="0.3">
      <c r="A160" s="11"/>
      <c r="B160" s="5" t="s">
        <v>34</v>
      </c>
      <c r="C160" s="5" t="s">
        <v>67</v>
      </c>
      <c r="D160" t="str">
        <f t="shared" si="6"/>
        <v/>
      </c>
      <c r="E160" t="str">
        <f t="shared" si="7"/>
        <v>Pending</v>
      </c>
      <c r="F160" t="str">
        <f t="shared" si="8"/>
        <v>Awaiting Action - Scaler</v>
      </c>
    </row>
    <row r="161" spans="1:6" x14ac:dyDescent="0.3">
      <c r="A161" s="11">
        <v>45901</v>
      </c>
      <c r="B161" s="5" t="s">
        <v>24</v>
      </c>
      <c r="C161" s="5" t="s">
        <v>25</v>
      </c>
      <c r="D161">
        <f t="shared" si="6"/>
        <v>45901</v>
      </c>
      <c r="E161" t="str">
        <f t="shared" si="7"/>
        <v>Complete</v>
      </c>
      <c r="F161" t="str">
        <f t="shared" si="8"/>
        <v>Solved</v>
      </c>
    </row>
    <row r="162" spans="1:6" x14ac:dyDescent="0.3">
      <c r="A162" s="11">
        <v>45902</v>
      </c>
      <c r="B162" s="5" t="s">
        <v>24</v>
      </c>
      <c r="C162" s="5" t="s">
        <v>25</v>
      </c>
      <c r="D162">
        <f t="shared" si="6"/>
        <v>45902</v>
      </c>
      <c r="E162" t="str">
        <f t="shared" si="7"/>
        <v>Complete</v>
      </c>
      <c r="F162" t="str">
        <f t="shared" si="8"/>
        <v>Solved</v>
      </c>
    </row>
    <row r="163" spans="1:6" x14ac:dyDescent="0.3">
      <c r="A163" s="11">
        <v>45894</v>
      </c>
      <c r="B163" s="5" t="s">
        <v>24</v>
      </c>
      <c r="C163" s="5" t="s">
        <v>25</v>
      </c>
      <c r="D163">
        <f t="shared" si="6"/>
        <v>45894</v>
      </c>
      <c r="E163" t="str">
        <f t="shared" si="7"/>
        <v>Complete</v>
      </c>
      <c r="F163" t="str">
        <f t="shared" si="8"/>
        <v>Solved</v>
      </c>
    </row>
    <row r="164" spans="1:6" x14ac:dyDescent="0.3">
      <c r="A164" s="11">
        <v>45904</v>
      </c>
      <c r="B164" s="5" t="s">
        <v>24</v>
      </c>
      <c r="C164" s="5" t="s">
        <v>25</v>
      </c>
      <c r="D164">
        <f t="shared" si="6"/>
        <v>45904</v>
      </c>
      <c r="E164" t="str">
        <f t="shared" si="7"/>
        <v>Complete</v>
      </c>
      <c r="F164" t="str">
        <f t="shared" si="8"/>
        <v>Solved</v>
      </c>
    </row>
    <row r="165" spans="1:6" x14ac:dyDescent="0.3">
      <c r="A165" s="11"/>
      <c r="B165" s="5" t="s">
        <v>34</v>
      </c>
      <c r="C165" s="5" t="s">
        <v>35</v>
      </c>
      <c r="D165" t="str">
        <f t="shared" si="6"/>
        <v/>
      </c>
      <c r="E165" t="str">
        <f t="shared" si="7"/>
        <v>Pending</v>
      </c>
      <c r="F165" t="str">
        <f t="shared" si="8"/>
        <v>In Progress</v>
      </c>
    </row>
    <row r="166" spans="1:6" x14ac:dyDescent="0.3">
      <c r="A166" s="11">
        <v>45908</v>
      </c>
      <c r="B166" s="5" t="s">
        <v>24</v>
      </c>
      <c r="C166" s="5" t="s">
        <v>25</v>
      </c>
      <c r="D166">
        <f t="shared" si="6"/>
        <v>45908</v>
      </c>
      <c r="E166" t="str">
        <f t="shared" si="7"/>
        <v>Complete</v>
      </c>
      <c r="F166" t="str">
        <f t="shared" si="8"/>
        <v>Solved</v>
      </c>
    </row>
    <row r="167" spans="1:6" x14ac:dyDescent="0.3">
      <c r="A167" s="11">
        <v>45919</v>
      </c>
      <c r="B167" s="5" t="s">
        <v>24</v>
      </c>
      <c r="C167" s="5" t="s">
        <v>25</v>
      </c>
      <c r="D167">
        <f t="shared" si="6"/>
        <v>45919</v>
      </c>
      <c r="E167" t="str">
        <f t="shared" si="7"/>
        <v>Complete</v>
      </c>
      <c r="F167" t="str">
        <f t="shared" si="8"/>
        <v>Solved</v>
      </c>
    </row>
    <row r="168" spans="1:6" x14ac:dyDescent="0.3">
      <c r="A168" s="11"/>
      <c r="B168" s="5" t="s">
        <v>34</v>
      </c>
      <c r="C168" s="5" t="s">
        <v>60</v>
      </c>
      <c r="D168" t="str">
        <f t="shared" si="6"/>
        <v/>
      </c>
      <c r="E168" t="str">
        <f t="shared" si="7"/>
        <v>Pending</v>
      </c>
      <c r="F168" t="str">
        <f t="shared" si="8"/>
        <v>Awaiting Action - Learner</v>
      </c>
    </row>
    <row r="169" spans="1:6" x14ac:dyDescent="0.3">
      <c r="A169" s="11">
        <v>45881</v>
      </c>
      <c r="B169" s="5" t="s">
        <v>24</v>
      </c>
      <c r="C169" s="5" t="s">
        <v>25</v>
      </c>
      <c r="D169">
        <f t="shared" si="6"/>
        <v>45881</v>
      </c>
      <c r="E169" t="str">
        <f t="shared" si="7"/>
        <v>Complete</v>
      </c>
      <c r="F169" t="str">
        <f t="shared" si="8"/>
        <v>Solved</v>
      </c>
    </row>
    <row r="170" spans="1:6" x14ac:dyDescent="0.3">
      <c r="A170" s="11"/>
      <c r="B170" s="5" t="s">
        <v>34</v>
      </c>
      <c r="C170" s="5" t="s">
        <v>67</v>
      </c>
      <c r="D170" t="str">
        <f t="shared" si="6"/>
        <v/>
      </c>
      <c r="E170" t="str">
        <f t="shared" si="7"/>
        <v>Pending</v>
      </c>
      <c r="F170" t="str">
        <f t="shared" si="8"/>
        <v>Awaiting Action - Scaler</v>
      </c>
    </row>
    <row r="171" spans="1:6" x14ac:dyDescent="0.3">
      <c r="A171" s="11">
        <v>45916</v>
      </c>
      <c r="B171" s="5" t="s">
        <v>24</v>
      </c>
      <c r="C171" s="5" t="s">
        <v>25</v>
      </c>
      <c r="D171">
        <f t="shared" si="6"/>
        <v>45916</v>
      </c>
      <c r="E171" t="str">
        <f t="shared" si="7"/>
        <v>Complete</v>
      </c>
      <c r="F171" t="str">
        <f t="shared" si="8"/>
        <v>Solved</v>
      </c>
    </row>
    <row r="172" spans="1:6" x14ac:dyDescent="0.3">
      <c r="A172" s="11"/>
      <c r="B172" s="5" t="s">
        <v>34</v>
      </c>
      <c r="C172" s="5" t="s">
        <v>67</v>
      </c>
      <c r="D172" t="str">
        <f t="shared" si="6"/>
        <v/>
      </c>
      <c r="E172" t="str">
        <f t="shared" si="7"/>
        <v>Pending</v>
      </c>
      <c r="F172" t="str">
        <f t="shared" si="8"/>
        <v>Awaiting Action - Scaler</v>
      </c>
    </row>
    <row r="173" spans="1:6" x14ac:dyDescent="0.3">
      <c r="A173" s="11"/>
      <c r="B173" s="5" t="s">
        <v>34</v>
      </c>
      <c r="C173" s="5" t="s">
        <v>60</v>
      </c>
      <c r="D173" t="str">
        <f t="shared" si="6"/>
        <v/>
      </c>
      <c r="E173" t="str">
        <f t="shared" si="7"/>
        <v>Pending</v>
      </c>
      <c r="F173" t="str">
        <f t="shared" si="8"/>
        <v>Awaiting Action - Learner</v>
      </c>
    </row>
    <row r="174" spans="1:6" x14ac:dyDescent="0.3">
      <c r="A174" s="11">
        <v>45893</v>
      </c>
      <c r="B174" s="5" t="s">
        <v>24</v>
      </c>
      <c r="C174" s="5" t="s">
        <v>25</v>
      </c>
      <c r="D174">
        <f t="shared" si="6"/>
        <v>45893</v>
      </c>
      <c r="E174" t="str">
        <f t="shared" si="7"/>
        <v>Complete</v>
      </c>
      <c r="F174" t="str">
        <f t="shared" si="8"/>
        <v>Solved</v>
      </c>
    </row>
    <row r="175" spans="1:6" x14ac:dyDescent="0.3">
      <c r="A175" s="11"/>
      <c r="B175" s="5" t="s">
        <v>34</v>
      </c>
      <c r="C175" s="5" t="s">
        <v>60</v>
      </c>
      <c r="D175" t="str">
        <f t="shared" si="6"/>
        <v/>
      </c>
      <c r="E175" t="str">
        <f t="shared" si="7"/>
        <v>Pending</v>
      </c>
      <c r="F175" t="str">
        <f t="shared" si="8"/>
        <v>Awaiting Action - Learner</v>
      </c>
    </row>
    <row r="176" spans="1:6" x14ac:dyDescent="0.3">
      <c r="A176" s="11"/>
      <c r="B176" s="5" t="s">
        <v>34</v>
      </c>
      <c r="C176" s="5" t="s">
        <v>67</v>
      </c>
      <c r="D176" t="str">
        <f t="shared" si="6"/>
        <v/>
      </c>
      <c r="E176" t="str">
        <f t="shared" si="7"/>
        <v>Pending</v>
      </c>
      <c r="F176" t="str">
        <f t="shared" si="8"/>
        <v>Awaiting Action - Scaler</v>
      </c>
    </row>
    <row r="177" spans="1:6" x14ac:dyDescent="0.3">
      <c r="A177" s="11">
        <v>45904</v>
      </c>
      <c r="B177" s="5" t="s">
        <v>24</v>
      </c>
      <c r="C177" s="5" t="s">
        <v>25</v>
      </c>
      <c r="D177">
        <f t="shared" si="6"/>
        <v>45904</v>
      </c>
      <c r="E177" t="str">
        <f t="shared" si="7"/>
        <v>Complete</v>
      </c>
      <c r="F177" t="str">
        <f t="shared" si="8"/>
        <v>Solved</v>
      </c>
    </row>
    <row r="178" spans="1:6" x14ac:dyDescent="0.3">
      <c r="A178" s="11">
        <v>45920</v>
      </c>
      <c r="B178" s="5" t="s">
        <v>24</v>
      </c>
      <c r="C178" s="5" t="s">
        <v>25</v>
      </c>
      <c r="D178">
        <f t="shared" si="6"/>
        <v>45920</v>
      </c>
      <c r="E178" t="str">
        <f t="shared" si="7"/>
        <v>Complete</v>
      </c>
      <c r="F178" t="str">
        <f t="shared" si="8"/>
        <v>Solved</v>
      </c>
    </row>
    <row r="179" spans="1:6" x14ac:dyDescent="0.3">
      <c r="A179" s="11">
        <v>45905</v>
      </c>
      <c r="B179" s="5" t="s">
        <v>24</v>
      </c>
      <c r="C179" s="5" t="s">
        <v>25</v>
      </c>
      <c r="D179">
        <f t="shared" si="6"/>
        <v>45905</v>
      </c>
      <c r="E179" t="str">
        <f t="shared" si="7"/>
        <v>Complete</v>
      </c>
      <c r="F179" t="str">
        <f t="shared" si="8"/>
        <v>Solved</v>
      </c>
    </row>
    <row r="180" spans="1:6" x14ac:dyDescent="0.3">
      <c r="A180" s="11"/>
      <c r="B180" s="5" t="s">
        <v>34</v>
      </c>
      <c r="C180" s="5" t="s">
        <v>67</v>
      </c>
      <c r="D180" t="str">
        <f t="shared" si="6"/>
        <v/>
      </c>
      <c r="E180" t="str">
        <f t="shared" si="7"/>
        <v>Pending</v>
      </c>
      <c r="F180" t="str">
        <f t="shared" si="8"/>
        <v>Awaiting Action - Scaler</v>
      </c>
    </row>
    <row r="181" spans="1:6" x14ac:dyDescent="0.3">
      <c r="A181" s="11">
        <v>45899</v>
      </c>
      <c r="B181" s="5" t="s">
        <v>24</v>
      </c>
      <c r="C181" s="5" t="s">
        <v>25</v>
      </c>
      <c r="D181">
        <f t="shared" si="6"/>
        <v>45899</v>
      </c>
      <c r="E181" t="str">
        <f t="shared" si="7"/>
        <v>Complete</v>
      </c>
      <c r="F181" t="str">
        <f t="shared" si="8"/>
        <v>Solved</v>
      </c>
    </row>
    <row r="182" spans="1:6" x14ac:dyDescent="0.3">
      <c r="A182" s="11">
        <v>45918</v>
      </c>
      <c r="B182" s="5" t="s">
        <v>24</v>
      </c>
      <c r="C182" s="5" t="s">
        <v>25</v>
      </c>
      <c r="D182">
        <f t="shared" si="6"/>
        <v>45918</v>
      </c>
      <c r="E182" t="str">
        <f t="shared" si="7"/>
        <v>Complete</v>
      </c>
      <c r="F182" t="str">
        <f t="shared" si="8"/>
        <v>Solved</v>
      </c>
    </row>
    <row r="183" spans="1:6" x14ac:dyDescent="0.3">
      <c r="A183" s="11">
        <v>45914</v>
      </c>
      <c r="B183" s="5" t="s">
        <v>24</v>
      </c>
      <c r="C183" s="5" t="s">
        <v>25</v>
      </c>
      <c r="D183">
        <f t="shared" si="6"/>
        <v>45914</v>
      </c>
      <c r="E183" t="str">
        <f t="shared" si="7"/>
        <v>Complete</v>
      </c>
      <c r="F183" t="str">
        <f t="shared" si="8"/>
        <v>Solved</v>
      </c>
    </row>
    <row r="184" spans="1:6" x14ac:dyDescent="0.3">
      <c r="A184" s="11"/>
      <c r="B184" s="5" t="s">
        <v>34</v>
      </c>
      <c r="C184" s="5" t="s">
        <v>67</v>
      </c>
      <c r="D184" t="str">
        <f t="shared" si="6"/>
        <v/>
      </c>
      <c r="E184" t="str">
        <f t="shared" si="7"/>
        <v>Pending</v>
      </c>
      <c r="F184" t="str">
        <f t="shared" si="8"/>
        <v>Awaiting Action - Scaler</v>
      </c>
    </row>
    <row r="185" spans="1:6" x14ac:dyDescent="0.3">
      <c r="A185" s="11">
        <v>45903</v>
      </c>
      <c r="B185" s="5" t="s">
        <v>24</v>
      </c>
      <c r="C185" s="5" t="s">
        <v>25</v>
      </c>
      <c r="D185">
        <f t="shared" si="6"/>
        <v>45903</v>
      </c>
      <c r="E185" t="str">
        <f t="shared" si="7"/>
        <v>Complete</v>
      </c>
      <c r="F185" t="str">
        <f t="shared" si="8"/>
        <v>Solved</v>
      </c>
    </row>
    <row r="186" spans="1:6" x14ac:dyDescent="0.3">
      <c r="A186" s="11">
        <v>45903</v>
      </c>
      <c r="B186" s="5" t="s">
        <v>24</v>
      </c>
      <c r="C186" s="5" t="s">
        <v>25</v>
      </c>
      <c r="D186">
        <f t="shared" si="6"/>
        <v>45903</v>
      </c>
      <c r="E186" t="str">
        <f t="shared" si="7"/>
        <v>Complete</v>
      </c>
      <c r="F186" t="str">
        <f t="shared" si="8"/>
        <v>Solved</v>
      </c>
    </row>
    <row r="187" spans="1:6" x14ac:dyDescent="0.3">
      <c r="A187" s="11"/>
      <c r="B187" s="5" t="s">
        <v>34</v>
      </c>
      <c r="C187" s="5" t="s">
        <v>35</v>
      </c>
      <c r="D187" t="str">
        <f t="shared" si="6"/>
        <v/>
      </c>
      <c r="E187" t="str">
        <f t="shared" si="7"/>
        <v>Pending</v>
      </c>
      <c r="F187" t="str">
        <f t="shared" si="8"/>
        <v>In Progress</v>
      </c>
    </row>
    <row r="188" spans="1:6" x14ac:dyDescent="0.3">
      <c r="A188" s="11"/>
      <c r="B188" s="5" t="s">
        <v>34</v>
      </c>
      <c r="C188" s="5" t="s">
        <v>60</v>
      </c>
      <c r="D188" t="str">
        <f t="shared" si="6"/>
        <v/>
      </c>
      <c r="E188" t="str">
        <f t="shared" si="7"/>
        <v>Pending</v>
      </c>
      <c r="F188" t="str">
        <f t="shared" si="8"/>
        <v>Awaiting Action - Learner</v>
      </c>
    </row>
    <row r="189" spans="1:6" x14ac:dyDescent="0.3">
      <c r="A189" s="11">
        <v>45901</v>
      </c>
      <c r="B189" s="5" t="s">
        <v>24</v>
      </c>
      <c r="C189" s="5" t="s">
        <v>25</v>
      </c>
      <c r="D189">
        <f t="shared" si="6"/>
        <v>45901</v>
      </c>
      <c r="E189" t="str">
        <f t="shared" si="7"/>
        <v>Complete</v>
      </c>
      <c r="F189" t="str">
        <f t="shared" si="8"/>
        <v>Solved</v>
      </c>
    </row>
    <row r="190" spans="1:6" x14ac:dyDescent="0.3">
      <c r="A190" s="11">
        <v>45930</v>
      </c>
      <c r="B190" s="5" t="s">
        <v>24</v>
      </c>
      <c r="C190" s="5" t="s">
        <v>25</v>
      </c>
      <c r="D190">
        <f t="shared" si="6"/>
        <v>45930</v>
      </c>
      <c r="E190" t="str">
        <f t="shared" si="7"/>
        <v>Complete</v>
      </c>
      <c r="F190" t="str">
        <f t="shared" si="8"/>
        <v>Solved</v>
      </c>
    </row>
    <row r="191" spans="1:6" x14ac:dyDescent="0.3">
      <c r="A191" s="11">
        <v>45905</v>
      </c>
      <c r="B191" s="5" t="s">
        <v>24</v>
      </c>
      <c r="C191" s="5" t="s">
        <v>25</v>
      </c>
      <c r="D191">
        <f t="shared" si="6"/>
        <v>45905</v>
      </c>
      <c r="E191" t="str">
        <f t="shared" si="7"/>
        <v>Complete</v>
      </c>
      <c r="F191" t="str">
        <f t="shared" si="8"/>
        <v>Solved</v>
      </c>
    </row>
    <row r="192" spans="1:6" x14ac:dyDescent="0.3">
      <c r="A192" s="11"/>
      <c r="B192" s="5" t="s">
        <v>34</v>
      </c>
      <c r="C192" s="5" t="s">
        <v>60</v>
      </c>
      <c r="D192" t="str">
        <f t="shared" si="6"/>
        <v/>
      </c>
      <c r="E192" t="str">
        <f t="shared" si="7"/>
        <v>Pending</v>
      </c>
      <c r="F192" t="str">
        <f t="shared" si="8"/>
        <v>Awaiting Action - Learner</v>
      </c>
    </row>
    <row r="193" spans="1:6" x14ac:dyDescent="0.3">
      <c r="A193" s="11">
        <v>45905</v>
      </c>
      <c r="B193" s="5" t="s">
        <v>24</v>
      </c>
      <c r="C193" s="5" t="s">
        <v>25</v>
      </c>
      <c r="D193">
        <f t="shared" si="6"/>
        <v>45905</v>
      </c>
      <c r="E193" t="str">
        <f t="shared" si="7"/>
        <v>Complete</v>
      </c>
      <c r="F193" t="str">
        <f t="shared" si="8"/>
        <v>Solved</v>
      </c>
    </row>
    <row r="194" spans="1:6" x14ac:dyDescent="0.3">
      <c r="A194" s="11">
        <v>45883</v>
      </c>
      <c r="B194" s="5" t="s">
        <v>24</v>
      </c>
      <c r="C194" s="5" t="s">
        <v>25</v>
      </c>
      <c r="D194">
        <f t="shared" si="6"/>
        <v>45883</v>
      </c>
      <c r="E194" t="str">
        <f t="shared" si="7"/>
        <v>Complete</v>
      </c>
      <c r="F194" t="str">
        <f t="shared" si="8"/>
        <v>Solved</v>
      </c>
    </row>
    <row r="195" spans="1:6" x14ac:dyDescent="0.3">
      <c r="A195" s="11">
        <v>45887</v>
      </c>
      <c r="B195" s="5" t="s">
        <v>24</v>
      </c>
      <c r="C195" s="5" t="s">
        <v>25</v>
      </c>
      <c r="D195">
        <f t="shared" ref="D195:D226" si="9">IF(A195&lt;&gt;"",A195,
    IF(AND(A195="",B195="Complete"),"SOLVED_BUT_DNP",
    IF(AND(A195="",B195="Pending"),"",
    IF(AND(A195="",B195="",C195&lt;&gt;""),"",
    ""))))</f>
        <v>45887</v>
      </c>
      <c r="E195" t="str">
        <f t="shared" ref="E195:E226" si="10">IF(A195&lt;&gt;"","Complete",
    IF(AND(A195="",B195="Complete"),"Complete",
    IF(AND(A195="",B195="",C195&lt;&gt;""),"Pending",
    IF(AND(A195="",B195="",C195=""),"Pending",
    B195))))</f>
        <v>Complete</v>
      </c>
      <c r="F195" t="str">
        <f t="shared" ref="F195:F226" si="11">IF(A195&lt;&gt;"","Solved",
    IF(AND(A195="",B195="Complete"),"Solved",
    IF(AND(A195="",B195="",C195&lt;&gt;""),C195,
    IF(AND(A195="",B195="",C195=""),"not_present",
    C195))))</f>
        <v>Solved</v>
      </c>
    </row>
    <row r="196" spans="1:6" x14ac:dyDescent="0.3">
      <c r="A196" s="11">
        <v>45876</v>
      </c>
      <c r="B196" s="5" t="s">
        <v>24</v>
      </c>
      <c r="C196" s="5" t="s">
        <v>25</v>
      </c>
      <c r="D196">
        <f t="shared" si="9"/>
        <v>45876</v>
      </c>
      <c r="E196" t="str">
        <f t="shared" si="10"/>
        <v>Complete</v>
      </c>
      <c r="F196" t="str">
        <f t="shared" si="11"/>
        <v>Solved</v>
      </c>
    </row>
    <row r="197" spans="1:6" x14ac:dyDescent="0.3">
      <c r="A197" s="11"/>
      <c r="B197" s="5" t="s">
        <v>34</v>
      </c>
      <c r="C197" s="5" t="s">
        <v>60</v>
      </c>
      <c r="D197" t="str">
        <f t="shared" si="9"/>
        <v/>
      </c>
      <c r="E197" t="str">
        <f t="shared" si="10"/>
        <v>Pending</v>
      </c>
      <c r="F197" t="str">
        <f t="shared" si="11"/>
        <v>Awaiting Action - Learner</v>
      </c>
    </row>
    <row r="198" spans="1:6" x14ac:dyDescent="0.3">
      <c r="A198" s="11">
        <v>45889</v>
      </c>
      <c r="B198" s="5" t="s">
        <v>24</v>
      </c>
      <c r="C198" s="5" t="s">
        <v>25</v>
      </c>
      <c r="D198">
        <f t="shared" si="9"/>
        <v>45889</v>
      </c>
      <c r="E198" t="str">
        <f t="shared" si="10"/>
        <v>Complete</v>
      </c>
      <c r="F198" t="str">
        <f t="shared" si="11"/>
        <v>Solved</v>
      </c>
    </row>
    <row r="199" spans="1:6" x14ac:dyDescent="0.3">
      <c r="A199" s="11">
        <v>45932</v>
      </c>
      <c r="B199" s="5" t="s">
        <v>24</v>
      </c>
      <c r="C199" s="5" t="s">
        <v>25</v>
      </c>
      <c r="D199">
        <f t="shared" si="9"/>
        <v>45932</v>
      </c>
      <c r="E199" t="str">
        <f t="shared" si="10"/>
        <v>Complete</v>
      </c>
      <c r="F199" t="str">
        <f t="shared" si="11"/>
        <v>Solved</v>
      </c>
    </row>
    <row r="200" spans="1:6" x14ac:dyDescent="0.3">
      <c r="A200" s="11">
        <v>45875</v>
      </c>
      <c r="B200" s="5" t="s">
        <v>24</v>
      </c>
      <c r="C200" s="5" t="s">
        <v>25</v>
      </c>
      <c r="D200">
        <f t="shared" si="9"/>
        <v>45875</v>
      </c>
      <c r="E200" t="str">
        <f t="shared" si="10"/>
        <v>Complete</v>
      </c>
      <c r="F200" t="str">
        <f t="shared" si="11"/>
        <v>Solved</v>
      </c>
    </row>
    <row r="201" spans="1:6" x14ac:dyDescent="0.3">
      <c r="A201" s="11">
        <v>45899</v>
      </c>
      <c r="B201" s="5" t="s">
        <v>24</v>
      </c>
      <c r="C201" s="5" t="s">
        <v>25</v>
      </c>
      <c r="D201">
        <f t="shared" si="9"/>
        <v>45899</v>
      </c>
      <c r="E201" t="str">
        <f t="shared" si="10"/>
        <v>Complete</v>
      </c>
      <c r="F201" t="str">
        <f t="shared" si="11"/>
        <v>Solved</v>
      </c>
    </row>
    <row r="202" spans="1:6" x14ac:dyDescent="0.3">
      <c r="A202" s="11">
        <v>45924</v>
      </c>
      <c r="B202" s="5" t="s">
        <v>24</v>
      </c>
      <c r="C202" s="5" t="s">
        <v>25</v>
      </c>
      <c r="D202">
        <f t="shared" si="9"/>
        <v>45924</v>
      </c>
      <c r="E202" t="str">
        <f t="shared" si="10"/>
        <v>Complete</v>
      </c>
      <c r="F202" t="str">
        <f t="shared" si="11"/>
        <v>Solved</v>
      </c>
    </row>
    <row r="203" spans="1:6" x14ac:dyDescent="0.3">
      <c r="A203" s="11">
        <v>45909</v>
      </c>
      <c r="B203" s="5" t="s">
        <v>24</v>
      </c>
      <c r="C203" s="5" t="s">
        <v>35</v>
      </c>
      <c r="D203">
        <f t="shared" si="9"/>
        <v>45909</v>
      </c>
      <c r="E203" t="str">
        <f t="shared" si="10"/>
        <v>Complete</v>
      </c>
      <c r="F203" t="str">
        <f t="shared" si="11"/>
        <v>Solved</v>
      </c>
    </row>
    <row r="204" spans="1:6" x14ac:dyDescent="0.3">
      <c r="A204" s="11">
        <v>45928</v>
      </c>
      <c r="B204" s="5" t="s">
        <v>24</v>
      </c>
      <c r="C204" s="5" t="s">
        <v>25</v>
      </c>
      <c r="D204">
        <f t="shared" si="9"/>
        <v>45928</v>
      </c>
      <c r="E204" t="str">
        <f t="shared" si="10"/>
        <v>Complete</v>
      </c>
      <c r="F204" t="str">
        <f t="shared" si="11"/>
        <v>Solved</v>
      </c>
    </row>
    <row r="205" spans="1:6" x14ac:dyDescent="0.3">
      <c r="A205" s="11"/>
      <c r="B205" s="5" t="s">
        <v>34</v>
      </c>
      <c r="C205" s="5" t="s">
        <v>35</v>
      </c>
      <c r="D205" t="str">
        <f t="shared" si="9"/>
        <v/>
      </c>
      <c r="E205" t="str">
        <f t="shared" si="10"/>
        <v>Pending</v>
      </c>
      <c r="F205" t="str">
        <f t="shared" si="11"/>
        <v>In Progress</v>
      </c>
    </row>
    <row r="206" spans="1:6" x14ac:dyDescent="0.3">
      <c r="A206" s="11"/>
      <c r="B206" s="5" t="s">
        <v>34</v>
      </c>
      <c r="C206" s="5" t="s">
        <v>35</v>
      </c>
      <c r="D206" t="str">
        <f t="shared" si="9"/>
        <v/>
      </c>
      <c r="E206" t="str">
        <f t="shared" si="10"/>
        <v>Pending</v>
      </c>
      <c r="F206" t="str">
        <f t="shared" si="11"/>
        <v>In Progress</v>
      </c>
    </row>
    <row r="207" spans="1:6" x14ac:dyDescent="0.3">
      <c r="A207" s="11">
        <v>45923</v>
      </c>
      <c r="B207" s="5" t="s">
        <v>24</v>
      </c>
      <c r="C207" s="5" t="s">
        <v>25</v>
      </c>
      <c r="D207">
        <f t="shared" si="9"/>
        <v>45923</v>
      </c>
      <c r="E207" t="str">
        <f t="shared" si="10"/>
        <v>Complete</v>
      </c>
      <c r="F207" t="str">
        <f t="shared" si="11"/>
        <v>Solved</v>
      </c>
    </row>
    <row r="208" spans="1:6" x14ac:dyDescent="0.3">
      <c r="A208" s="11">
        <v>45885</v>
      </c>
      <c r="B208" s="5" t="s">
        <v>24</v>
      </c>
      <c r="C208" s="5" t="s">
        <v>25</v>
      </c>
      <c r="D208">
        <f t="shared" si="9"/>
        <v>45885</v>
      </c>
      <c r="E208" t="str">
        <f t="shared" si="10"/>
        <v>Complete</v>
      </c>
      <c r="F208" t="str">
        <f t="shared" si="11"/>
        <v>Solved</v>
      </c>
    </row>
    <row r="209" spans="1:6" x14ac:dyDescent="0.3">
      <c r="A209" s="11">
        <v>45886</v>
      </c>
      <c r="B209" s="5" t="s">
        <v>24</v>
      </c>
      <c r="C209" s="5" t="s">
        <v>25</v>
      </c>
      <c r="D209">
        <f t="shared" si="9"/>
        <v>45886</v>
      </c>
      <c r="E209" t="str">
        <f t="shared" si="10"/>
        <v>Complete</v>
      </c>
      <c r="F209" t="str">
        <f t="shared" si="11"/>
        <v>Solved</v>
      </c>
    </row>
    <row r="210" spans="1:6" x14ac:dyDescent="0.3">
      <c r="A210" s="11"/>
      <c r="B210" s="5" t="s">
        <v>34</v>
      </c>
      <c r="C210" s="5" t="s">
        <v>60</v>
      </c>
      <c r="D210" t="str">
        <f t="shared" si="9"/>
        <v/>
      </c>
      <c r="E210" t="str">
        <f t="shared" si="10"/>
        <v>Pending</v>
      </c>
      <c r="F210" t="str">
        <f t="shared" si="11"/>
        <v>Awaiting Action - Learner</v>
      </c>
    </row>
    <row r="211" spans="1:6" x14ac:dyDescent="0.3">
      <c r="A211" s="11">
        <v>45908</v>
      </c>
      <c r="B211" s="5" t="s">
        <v>24</v>
      </c>
      <c r="C211" s="5" t="s">
        <v>25</v>
      </c>
      <c r="D211">
        <f t="shared" si="9"/>
        <v>45908</v>
      </c>
      <c r="E211" t="str">
        <f t="shared" si="10"/>
        <v>Complete</v>
      </c>
      <c r="F211" t="str">
        <f t="shared" si="11"/>
        <v>Solved</v>
      </c>
    </row>
    <row r="212" spans="1:6" x14ac:dyDescent="0.3">
      <c r="A212" s="11">
        <v>45875</v>
      </c>
      <c r="B212" s="5" t="s">
        <v>24</v>
      </c>
      <c r="C212" s="5" t="s">
        <v>25</v>
      </c>
      <c r="D212">
        <f t="shared" si="9"/>
        <v>45875</v>
      </c>
      <c r="E212" t="str">
        <f t="shared" si="10"/>
        <v>Complete</v>
      </c>
      <c r="F212" t="str">
        <f t="shared" si="11"/>
        <v>Solved</v>
      </c>
    </row>
    <row r="213" spans="1:6" x14ac:dyDescent="0.3">
      <c r="A213" s="11">
        <v>45911</v>
      </c>
      <c r="B213" s="5" t="s">
        <v>24</v>
      </c>
      <c r="C213" s="5" t="s">
        <v>25</v>
      </c>
      <c r="D213">
        <f t="shared" si="9"/>
        <v>45911</v>
      </c>
      <c r="E213" t="str">
        <f t="shared" si="10"/>
        <v>Complete</v>
      </c>
      <c r="F213" t="str">
        <f t="shared" si="11"/>
        <v>Solved</v>
      </c>
    </row>
    <row r="214" spans="1:6" x14ac:dyDescent="0.3">
      <c r="A214" s="11">
        <v>45891</v>
      </c>
      <c r="B214" s="5" t="s">
        <v>24</v>
      </c>
      <c r="C214" s="5" t="s">
        <v>25</v>
      </c>
      <c r="D214">
        <f t="shared" si="9"/>
        <v>45891</v>
      </c>
      <c r="E214" t="str">
        <f t="shared" si="10"/>
        <v>Complete</v>
      </c>
      <c r="F214" t="str">
        <f t="shared" si="11"/>
        <v>Solved</v>
      </c>
    </row>
    <row r="215" spans="1:6" x14ac:dyDescent="0.3">
      <c r="A215" s="11">
        <v>45912</v>
      </c>
      <c r="B215" s="5" t="s">
        <v>24</v>
      </c>
      <c r="C215" s="5" t="s">
        <v>25</v>
      </c>
      <c r="D215">
        <f t="shared" si="9"/>
        <v>45912</v>
      </c>
      <c r="E215" t="str">
        <f t="shared" si="10"/>
        <v>Complete</v>
      </c>
      <c r="F215" t="str">
        <f t="shared" si="11"/>
        <v>Solved</v>
      </c>
    </row>
    <row r="216" spans="1:6" x14ac:dyDescent="0.3">
      <c r="A216" s="11"/>
      <c r="B216" s="5" t="s">
        <v>34</v>
      </c>
      <c r="C216" s="5" t="s">
        <v>67</v>
      </c>
      <c r="D216" t="str">
        <f t="shared" si="9"/>
        <v/>
      </c>
      <c r="E216" t="str">
        <f t="shared" si="10"/>
        <v>Pending</v>
      </c>
      <c r="F216" t="str">
        <f t="shared" si="11"/>
        <v>Awaiting Action - Scaler</v>
      </c>
    </row>
    <row r="217" spans="1:6" x14ac:dyDescent="0.3">
      <c r="A217" s="11"/>
      <c r="B217" s="5" t="s">
        <v>34</v>
      </c>
      <c r="C217" s="5" t="s">
        <v>67</v>
      </c>
      <c r="D217" t="str">
        <f t="shared" si="9"/>
        <v/>
      </c>
      <c r="E217" t="str">
        <f t="shared" si="10"/>
        <v>Pending</v>
      </c>
      <c r="F217" t="str">
        <f t="shared" si="11"/>
        <v>Awaiting Action - Scaler</v>
      </c>
    </row>
    <row r="218" spans="1:6" x14ac:dyDescent="0.3">
      <c r="A218" s="11">
        <v>45927</v>
      </c>
      <c r="B218" s="5" t="s">
        <v>24</v>
      </c>
      <c r="C218" s="5" t="s">
        <v>25</v>
      </c>
      <c r="D218">
        <f t="shared" si="9"/>
        <v>45927</v>
      </c>
      <c r="E218" t="str">
        <f t="shared" si="10"/>
        <v>Complete</v>
      </c>
      <c r="F218" t="str">
        <f t="shared" si="11"/>
        <v>Solved</v>
      </c>
    </row>
    <row r="219" spans="1:6" x14ac:dyDescent="0.3">
      <c r="A219" s="11">
        <v>45909</v>
      </c>
      <c r="B219" s="5" t="s">
        <v>24</v>
      </c>
      <c r="C219" s="5" t="s">
        <v>25</v>
      </c>
      <c r="D219">
        <f t="shared" si="9"/>
        <v>45909</v>
      </c>
      <c r="E219" t="str">
        <f t="shared" si="10"/>
        <v>Complete</v>
      </c>
      <c r="F219" t="str">
        <f t="shared" si="11"/>
        <v>Solved</v>
      </c>
    </row>
    <row r="220" spans="1:6" x14ac:dyDescent="0.3">
      <c r="A220" s="11"/>
      <c r="B220" s="5" t="s">
        <v>34</v>
      </c>
      <c r="C220" s="5" t="s">
        <v>60</v>
      </c>
      <c r="D220" t="str">
        <f t="shared" si="9"/>
        <v/>
      </c>
      <c r="E220" t="str">
        <f t="shared" si="10"/>
        <v>Pending</v>
      </c>
      <c r="F220" t="str">
        <f t="shared" si="11"/>
        <v>Awaiting Action - Learner</v>
      </c>
    </row>
    <row r="221" spans="1:6" x14ac:dyDescent="0.3">
      <c r="A221" s="11">
        <v>45923</v>
      </c>
      <c r="B221" s="5" t="s">
        <v>24</v>
      </c>
      <c r="C221" s="5" t="s">
        <v>25</v>
      </c>
      <c r="D221">
        <f t="shared" si="9"/>
        <v>45923</v>
      </c>
      <c r="E221" t="str">
        <f t="shared" si="10"/>
        <v>Complete</v>
      </c>
      <c r="F221" t="str">
        <f t="shared" si="11"/>
        <v>Solved</v>
      </c>
    </row>
    <row r="222" spans="1:6" x14ac:dyDescent="0.3">
      <c r="A222" s="11">
        <v>45883</v>
      </c>
      <c r="B222" s="5" t="s">
        <v>24</v>
      </c>
      <c r="C222" s="5" t="s">
        <v>25</v>
      </c>
      <c r="D222">
        <f t="shared" si="9"/>
        <v>45883</v>
      </c>
      <c r="E222" t="str">
        <f t="shared" si="10"/>
        <v>Complete</v>
      </c>
      <c r="F222" t="str">
        <f t="shared" si="11"/>
        <v>Solved</v>
      </c>
    </row>
    <row r="223" spans="1:6" x14ac:dyDescent="0.3">
      <c r="A223" s="11">
        <v>45895</v>
      </c>
      <c r="B223" s="5" t="s">
        <v>24</v>
      </c>
      <c r="C223" s="5" t="s">
        <v>25</v>
      </c>
      <c r="D223">
        <f t="shared" si="9"/>
        <v>45895</v>
      </c>
      <c r="E223" t="str">
        <f t="shared" si="10"/>
        <v>Complete</v>
      </c>
      <c r="F223" t="str">
        <f t="shared" si="11"/>
        <v>Solved</v>
      </c>
    </row>
    <row r="224" spans="1:6" x14ac:dyDescent="0.3">
      <c r="A224" s="11"/>
      <c r="B224" s="5" t="s">
        <v>34</v>
      </c>
      <c r="C224" s="5" t="s">
        <v>60</v>
      </c>
      <c r="D224" t="str">
        <f t="shared" si="9"/>
        <v/>
      </c>
      <c r="E224" t="str">
        <f t="shared" si="10"/>
        <v>Pending</v>
      </c>
      <c r="F224" t="str">
        <f t="shared" si="11"/>
        <v>Awaiting Action - Learner</v>
      </c>
    </row>
    <row r="225" spans="1:6" x14ac:dyDescent="0.3">
      <c r="A225" s="11">
        <v>45924</v>
      </c>
      <c r="B225" s="5" t="s">
        <v>24</v>
      </c>
      <c r="C225" s="5" t="s">
        <v>25</v>
      </c>
      <c r="D225">
        <f t="shared" si="9"/>
        <v>45924</v>
      </c>
      <c r="E225" t="str">
        <f t="shared" si="10"/>
        <v>Complete</v>
      </c>
      <c r="F225" t="str">
        <f t="shared" si="11"/>
        <v>Solved</v>
      </c>
    </row>
    <row r="226" spans="1:6" x14ac:dyDescent="0.3">
      <c r="A226" s="11">
        <v>45896</v>
      </c>
      <c r="B226" s="5" t="s">
        <v>24</v>
      </c>
      <c r="C226" s="5" t="s">
        <v>25</v>
      </c>
      <c r="D226">
        <f t="shared" si="9"/>
        <v>45896</v>
      </c>
      <c r="E226" t="str">
        <f t="shared" si="10"/>
        <v>Complete</v>
      </c>
      <c r="F226" t="str">
        <f t="shared" si="11"/>
        <v>Solved</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1A02A-39B1-4038-98A9-D71D74F12BCA}">
  <dimension ref="A1:F226"/>
  <sheetViews>
    <sheetView workbookViewId="0">
      <selection activeCell="Q37" sqref="Q37"/>
    </sheetView>
  </sheetViews>
  <sheetFormatPr defaultRowHeight="14.4" x14ac:dyDescent="0.3"/>
  <cols>
    <col min="1" max="1" width="12.6640625" bestFit="1" customWidth="1"/>
    <col min="3" max="3" width="21.77734375" bestFit="1" customWidth="1"/>
    <col min="4" max="4" width="16.5546875" bestFit="1" customWidth="1"/>
    <col min="5" max="5" width="12.33203125" bestFit="1" customWidth="1"/>
    <col min="6" max="6" width="21.77734375" bestFit="1" customWidth="1"/>
  </cols>
  <sheetData>
    <row r="1" spans="1:6" x14ac:dyDescent="0.3">
      <c r="A1" t="s">
        <v>4</v>
      </c>
      <c r="B1" t="s">
        <v>15</v>
      </c>
      <c r="C1" t="s">
        <v>16</v>
      </c>
      <c r="D1" t="s">
        <v>411</v>
      </c>
      <c r="E1" t="s">
        <v>412</v>
      </c>
      <c r="F1" t="s">
        <v>413</v>
      </c>
    </row>
    <row r="2" spans="1:6" x14ac:dyDescent="0.3">
      <c r="A2">
        <v>45899</v>
      </c>
      <c r="B2" t="s">
        <v>24</v>
      </c>
      <c r="C2" t="s">
        <v>25</v>
      </c>
      <c r="D2">
        <v>45899</v>
      </c>
      <c r="E2" t="s">
        <v>24</v>
      </c>
      <c r="F2" t="s">
        <v>25</v>
      </c>
    </row>
    <row r="3" spans="1:6" x14ac:dyDescent="0.3">
      <c r="A3">
        <v>45912</v>
      </c>
      <c r="B3" t="s">
        <v>24</v>
      </c>
      <c r="C3" t="s">
        <v>25</v>
      </c>
      <c r="D3">
        <v>45912</v>
      </c>
      <c r="E3" t="s">
        <v>24</v>
      </c>
      <c r="F3" t="s">
        <v>25</v>
      </c>
    </row>
    <row r="4" spans="1:6" x14ac:dyDescent="0.3">
      <c r="B4" t="s">
        <v>34</v>
      </c>
      <c r="C4" t="s">
        <v>35</v>
      </c>
      <c r="D4" t="s">
        <v>414</v>
      </c>
      <c r="E4" t="s">
        <v>34</v>
      </c>
      <c r="F4" t="s">
        <v>35</v>
      </c>
    </row>
    <row r="5" spans="1:6" x14ac:dyDescent="0.3">
      <c r="A5">
        <v>45916</v>
      </c>
      <c r="B5" t="s">
        <v>24</v>
      </c>
      <c r="C5" t="s">
        <v>25</v>
      </c>
      <c r="D5">
        <v>45916</v>
      </c>
      <c r="E5" t="s">
        <v>24</v>
      </c>
      <c r="F5" t="s">
        <v>25</v>
      </c>
    </row>
    <row r="6" spans="1:6" x14ac:dyDescent="0.3">
      <c r="A6">
        <v>45921</v>
      </c>
      <c r="B6" t="s">
        <v>24</v>
      </c>
      <c r="C6" t="s">
        <v>25</v>
      </c>
      <c r="D6">
        <v>45921</v>
      </c>
      <c r="E6" t="s">
        <v>24</v>
      </c>
      <c r="F6" t="s">
        <v>25</v>
      </c>
    </row>
    <row r="7" spans="1:6" x14ac:dyDescent="0.3">
      <c r="A7">
        <v>45910</v>
      </c>
      <c r="B7" t="s">
        <v>24</v>
      </c>
      <c r="C7" t="s">
        <v>25</v>
      </c>
      <c r="D7">
        <v>45910</v>
      </c>
      <c r="E7" t="s">
        <v>24</v>
      </c>
      <c r="F7" t="s">
        <v>25</v>
      </c>
    </row>
    <row r="8" spans="1:6" x14ac:dyDescent="0.3">
      <c r="A8">
        <v>45912</v>
      </c>
      <c r="B8" t="s">
        <v>24</v>
      </c>
      <c r="C8" t="s">
        <v>25</v>
      </c>
      <c r="D8">
        <v>45912</v>
      </c>
      <c r="E8" t="s">
        <v>24</v>
      </c>
      <c r="F8" t="s">
        <v>25</v>
      </c>
    </row>
    <row r="9" spans="1:6" x14ac:dyDescent="0.3">
      <c r="B9" t="s">
        <v>34</v>
      </c>
      <c r="C9" t="s">
        <v>35</v>
      </c>
      <c r="D9" t="s">
        <v>414</v>
      </c>
      <c r="E9" t="s">
        <v>34</v>
      </c>
      <c r="F9" t="s">
        <v>35</v>
      </c>
    </row>
    <row r="10" spans="1:6" x14ac:dyDescent="0.3">
      <c r="A10">
        <v>45906</v>
      </c>
      <c r="B10" t="s">
        <v>24</v>
      </c>
      <c r="C10" t="s">
        <v>25</v>
      </c>
      <c r="D10">
        <v>45906</v>
      </c>
      <c r="E10" t="s">
        <v>24</v>
      </c>
      <c r="F10" t="s">
        <v>25</v>
      </c>
    </row>
    <row r="11" spans="1:6" x14ac:dyDescent="0.3">
      <c r="A11">
        <v>45922</v>
      </c>
      <c r="B11" t="s">
        <v>24</v>
      </c>
      <c r="C11" t="s">
        <v>25</v>
      </c>
      <c r="D11">
        <v>45922</v>
      </c>
      <c r="E11" t="s">
        <v>24</v>
      </c>
      <c r="F11" t="s">
        <v>25</v>
      </c>
    </row>
    <row r="12" spans="1:6" x14ac:dyDescent="0.3">
      <c r="B12" t="s">
        <v>34</v>
      </c>
      <c r="C12" t="s">
        <v>60</v>
      </c>
      <c r="D12" t="s">
        <v>414</v>
      </c>
      <c r="E12" t="s">
        <v>34</v>
      </c>
      <c r="F12" t="s">
        <v>60</v>
      </c>
    </row>
    <row r="13" spans="1:6" x14ac:dyDescent="0.3">
      <c r="A13">
        <v>45882</v>
      </c>
      <c r="B13" t="s">
        <v>24</v>
      </c>
      <c r="C13" t="s">
        <v>25</v>
      </c>
      <c r="D13">
        <v>45882</v>
      </c>
      <c r="E13" t="s">
        <v>24</v>
      </c>
      <c r="F13" t="s">
        <v>25</v>
      </c>
    </row>
    <row r="14" spans="1:6" x14ac:dyDescent="0.3">
      <c r="B14" t="s">
        <v>34</v>
      </c>
      <c r="C14" t="s">
        <v>67</v>
      </c>
      <c r="D14" t="s">
        <v>414</v>
      </c>
      <c r="E14" t="s">
        <v>34</v>
      </c>
      <c r="F14" t="s">
        <v>67</v>
      </c>
    </row>
    <row r="15" spans="1:6" x14ac:dyDescent="0.3">
      <c r="B15" t="s">
        <v>34</v>
      </c>
      <c r="C15" t="s">
        <v>60</v>
      </c>
      <c r="D15" t="s">
        <v>414</v>
      </c>
      <c r="E15" t="s">
        <v>34</v>
      </c>
      <c r="F15" t="s">
        <v>60</v>
      </c>
    </row>
    <row r="16" spans="1:6" x14ac:dyDescent="0.3">
      <c r="A16">
        <v>45896</v>
      </c>
      <c r="B16" t="s">
        <v>24</v>
      </c>
      <c r="C16" t="s">
        <v>25</v>
      </c>
      <c r="D16">
        <v>45896</v>
      </c>
      <c r="E16" t="s">
        <v>24</v>
      </c>
      <c r="F16" t="s">
        <v>25</v>
      </c>
    </row>
    <row r="17" spans="1:6" x14ac:dyDescent="0.3">
      <c r="B17" t="s">
        <v>34</v>
      </c>
      <c r="C17" t="s">
        <v>35</v>
      </c>
      <c r="D17" t="s">
        <v>414</v>
      </c>
      <c r="E17" t="s">
        <v>34</v>
      </c>
      <c r="F17" t="s">
        <v>35</v>
      </c>
    </row>
    <row r="18" spans="1:6" ht="19.8" customHeight="1" x14ac:dyDescent="0.3">
      <c r="A18">
        <v>45903</v>
      </c>
      <c r="B18" t="s">
        <v>24</v>
      </c>
      <c r="C18" t="s">
        <v>25</v>
      </c>
      <c r="D18">
        <v>45903</v>
      </c>
      <c r="E18" t="s">
        <v>24</v>
      </c>
      <c r="F18" t="s">
        <v>25</v>
      </c>
    </row>
    <row r="19" spans="1:6" x14ac:dyDescent="0.3">
      <c r="A19">
        <v>45927</v>
      </c>
      <c r="B19" t="s">
        <v>24</v>
      </c>
      <c r="C19" t="s">
        <v>25</v>
      </c>
      <c r="D19">
        <v>45927</v>
      </c>
      <c r="E19" t="s">
        <v>24</v>
      </c>
      <c r="F19" t="s">
        <v>25</v>
      </c>
    </row>
    <row r="20" spans="1:6" x14ac:dyDescent="0.3">
      <c r="B20" t="s">
        <v>34</v>
      </c>
      <c r="C20" t="s">
        <v>35</v>
      </c>
      <c r="D20" t="s">
        <v>414</v>
      </c>
      <c r="E20" t="s">
        <v>34</v>
      </c>
      <c r="F20" t="s">
        <v>35</v>
      </c>
    </row>
    <row r="21" spans="1:6" x14ac:dyDescent="0.3">
      <c r="A21">
        <v>45901</v>
      </c>
      <c r="B21" t="s">
        <v>24</v>
      </c>
      <c r="C21" t="s">
        <v>25</v>
      </c>
      <c r="D21">
        <v>45901</v>
      </c>
      <c r="E21" t="s">
        <v>24</v>
      </c>
      <c r="F21" t="s">
        <v>25</v>
      </c>
    </row>
    <row r="22" spans="1:6" x14ac:dyDescent="0.3">
      <c r="A22">
        <v>45902</v>
      </c>
      <c r="B22" t="s">
        <v>24</v>
      </c>
      <c r="C22" t="s">
        <v>25</v>
      </c>
      <c r="D22">
        <v>45902</v>
      </c>
      <c r="E22" t="s">
        <v>24</v>
      </c>
      <c r="F22" t="s">
        <v>25</v>
      </c>
    </row>
    <row r="23" spans="1:6" x14ac:dyDescent="0.3">
      <c r="A23">
        <v>45899</v>
      </c>
      <c r="B23" t="s">
        <v>24</v>
      </c>
      <c r="C23" t="s">
        <v>25</v>
      </c>
      <c r="D23">
        <v>45899</v>
      </c>
      <c r="E23" t="s">
        <v>24</v>
      </c>
      <c r="F23" t="s">
        <v>25</v>
      </c>
    </row>
    <row r="24" spans="1:6" x14ac:dyDescent="0.3">
      <c r="A24">
        <v>45910</v>
      </c>
      <c r="B24" t="s">
        <v>24</v>
      </c>
      <c r="C24" t="s">
        <v>25</v>
      </c>
      <c r="D24">
        <v>45910</v>
      </c>
      <c r="E24" t="s">
        <v>24</v>
      </c>
      <c r="F24" t="s">
        <v>25</v>
      </c>
    </row>
    <row r="25" spans="1:6" x14ac:dyDescent="0.3">
      <c r="B25" t="s">
        <v>34</v>
      </c>
      <c r="C25" t="s">
        <v>35</v>
      </c>
      <c r="D25" t="s">
        <v>414</v>
      </c>
      <c r="E25" t="s">
        <v>34</v>
      </c>
      <c r="F25" t="s">
        <v>35</v>
      </c>
    </row>
    <row r="26" spans="1:6" x14ac:dyDescent="0.3">
      <c r="A26">
        <v>45902</v>
      </c>
      <c r="B26" t="s">
        <v>24</v>
      </c>
      <c r="C26" t="s">
        <v>25</v>
      </c>
      <c r="D26">
        <v>45902</v>
      </c>
      <c r="E26" t="s">
        <v>24</v>
      </c>
      <c r="F26" t="s">
        <v>25</v>
      </c>
    </row>
    <row r="27" spans="1:6" x14ac:dyDescent="0.3">
      <c r="A27">
        <v>45918</v>
      </c>
      <c r="B27" t="s">
        <v>24</v>
      </c>
      <c r="C27" t="s">
        <v>25</v>
      </c>
      <c r="D27">
        <v>45918</v>
      </c>
      <c r="E27" t="s">
        <v>24</v>
      </c>
      <c r="F27" t="s">
        <v>25</v>
      </c>
    </row>
    <row r="28" spans="1:6" x14ac:dyDescent="0.3">
      <c r="A28">
        <v>45922</v>
      </c>
      <c r="B28" t="s">
        <v>24</v>
      </c>
      <c r="C28" t="s">
        <v>25</v>
      </c>
      <c r="D28">
        <v>45922</v>
      </c>
      <c r="E28" t="s">
        <v>24</v>
      </c>
      <c r="F28" t="s">
        <v>25</v>
      </c>
    </row>
    <row r="29" spans="1:6" x14ac:dyDescent="0.3">
      <c r="A29">
        <v>45884</v>
      </c>
      <c r="B29" t="s">
        <v>24</v>
      </c>
      <c r="C29" t="s">
        <v>25</v>
      </c>
      <c r="D29">
        <v>45884</v>
      </c>
      <c r="E29" t="s">
        <v>24</v>
      </c>
      <c r="F29" t="s">
        <v>25</v>
      </c>
    </row>
    <row r="30" spans="1:6" x14ac:dyDescent="0.3">
      <c r="A30">
        <v>45889</v>
      </c>
      <c r="B30" t="s">
        <v>24</v>
      </c>
      <c r="C30" t="s">
        <v>25</v>
      </c>
      <c r="D30">
        <v>45889</v>
      </c>
      <c r="E30" t="s">
        <v>24</v>
      </c>
      <c r="F30" t="s">
        <v>25</v>
      </c>
    </row>
    <row r="31" spans="1:6" x14ac:dyDescent="0.3">
      <c r="B31" t="s">
        <v>34</v>
      </c>
      <c r="C31" t="s">
        <v>35</v>
      </c>
      <c r="D31" t="s">
        <v>414</v>
      </c>
      <c r="E31" t="s">
        <v>34</v>
      </c>
      <c r="F31" t="s">
        <v>35</v>
      </c>
    </row>
    <row r="32" spans="1:6" x14ac:dyDescent="0.3">
      <c r="A32">
        <v>45908</v>
      </c>
      <c r="B32" t="s">
        <v>24</v>
      </c>
      <c r="C32" t="s">
        <v>25</v>
      </c>
      <c r="D32">
        <v>45908</v>
      </c>
      <c r="E32" t="s">
        <v>24</v>
      </c>
      <c r="F32" t="s">
        <v>25</v>
      </c>
    </row>
    <row r="33" spans="1:6" x14ac:dyDescent="0.3">
      <c r="B33" t="s">
        <v>24</v>
      </c>
      <c r="C33" t="s">
        <v>25</v>
      </c>
      <c r="D33" t="s">
        <v>415</v>
      </c>
      <c r="E33" t="s">
        <v>24</v>
      </c>
      <c r="F33" t="s">
        <v>25</v>
      </c>
    </row>
    <row r="34" spans="1:6" x14ac:dyDescent="0.3">
      <c r="A34">
        <v>45905</v>
      </c>
      <c r="B34" t="s">
        <v>24</v>
      </c>
      <c r="C34" t="s">
        <v>25</v>
      </c>
      <c r="D34">
        <v>45905</v>
      </c>
      <c r="E34" t="s">
        <v>24</v>
      </c>
      <c r="F34" t="s">
        <v>25</v>
      </c>
    </row>
    <row r="35" spans="1:6" x14ac:dyDescent="0.3">
      <c r="B35" t="s">
        <v>34</v>
      </c>
      <c r="C35" t="s">
        <v>35</v>
      </c>
      <c r="D35" t="s">
        <v>414</v>
      </c>
      <c r="E35" t="s">
        <v>34</v>
      </c>
      <c r="F35" t="s">
        <v>35</v>
      </c>
    </row>
    <row r="36" spans="1:6" x14ac:dyDescent="0.3">
      <c r="A36">
        <v>45891</v>
      </c>
      <c r="B36" t="s">
        <v>24</v>
      </c>
      <c r="C36" t="s">
        <v>25</v>
      </c>
      <c r="D36">
        <v>45891</v>
      </c>
      <c r="E36" t="s">
        <v>24</v>
      </c>
      <c r="F36" t="s">
        <v>25</v>
      </c>
    </row>
    <row r="37" spans="1:6" x14ac:dyDescent="0.3">
      <c r="B37" t="s">
        <v>34</v>
      </c>
      <c r="C37" t="s">
        <v>60</v>
      </c>
      <c r="D37" t="s">
        <v>414</v>
      </c>
      <c r="E37" t="s">
        <v>34</v>
      </c>
      <c r="F37" t="s">
        <v>60</v>
      </c>
    </row>
    <row r="38" spans="1:6" x14ac:dyDescent="0.3">
      <c r="A38">
        <v>45909</v>
      </c>
      <c r="B38" t="s">
        <v>24</v>
      </c>
      <c r="C38" t="s">
        <v>25</v>
      </c>
      <c r="D38">
        <v>45909</v>
      </c>
      <c r="E38" t="s">
        <v>24</v>
      </c>
      <c r="F38" t="s">
        <v>25</v>
      </c>
    </row>
    <row r="39" spans="1:6" x14ac:dyDescent="0.3">
      <c r="A39">
        <v>45907</v>
      </c>
      <c r="B39" t="s">
        <v>24</v>
      </c>
      <c r="C39" t="s">
        <v>25</v>
      </c>
      <c r="D39">
        <v>45907</v>
      </c>
      <c r="E39" t="s">
        <v>24</v>
      </c>
      <c r="F39" t="s">
        <v>25</v>
      </c>
    </row>
    <row r="40" spans="1:6" x14ac:dyDescent="0.3">
      <c r="A40">
        <v>45902</v>
      </c>
      <c r="B40" t="s">
        <v>24</v>
      </c>
      <c r="C40" t="s">
        <v>25</v>
      </c>
      <c r="D40">
        <v>45902</v>
      </c>
      <c r="E40" t="s">
        <v>24</v>
      </c>
      <c r="F40" t="s">
        <v>25</v>
      </c>
    </row>
    <row r="41" spans="1:6" x14ac:dyDescent="0.3">
      <c r="A41">
        <v>45898</v>
      </c>
      <c r="B41" t="s">
        <v>24</v>
      </c>
      <c r="C41" t="s">
        <v>25</v>
      </c>
      <c r="D41">
        <v>45898</v>
      </c>
      <c r="E41" t="s">
        <v>24</v>
      </c>
      <c r="F41" t="s">
        <v>25</v>
      </c>
    </row>
    <row r="42" spans="1:6" x14ac:dyDescent="0.3">
      <c r="A42">
        <v>45903</v>
      </c>
      <c r="B42" t="s">
        <v>24</v>
      </c>
      <c r="C42" t="s">
        <v>25</v>
      </c>
      <c r="D42">
        <v>45903</v>
      </c>
      <c r="E42" t="s">
        <v>24</v>
      </c>
      <c r="F42" t="s">
        <v>25</v>
      </c>
    </row>
    <row r="43" spans="1:6" x14ac:dyDescent="0.3">
      <c r="A43">
        <v>45890</v>
      </c>
      <c r="B43" t="s">
        <v>24</v>
      </c>
      <c r="C43" t="s">
        <v>25</v>
      </c>
      <c r="D43">
        <v>45890</v>
      </c>
      <c r="E43" t="s">
        <v>24</v>
      </c>
      <c r="F43" t="s">
        <v>25</v>
      </c>
    </row>
    <row r="44" spans="1:6" x14ac:dyDescent="0.3">
      <c r="A44">
        <v>45926</v>
      </c>
      <c r="B44" t="s">
        <v>24</v>
      </c>
      <c r="C44" t="s">
        <v>25</v>
      </c>
      <c r="D44">
        <v>45926</v>
      </c>
      <c r="E44" t="s">
        <v>24</v>
      </c>
      <c r="F44" t="s">
        <v>25</v>
      </c>
    </row>
    <row r="45" spans="1:6" x14ac:dyDescent="0.3">
      <c r="A45">
        <v>45907</v>
      </c>
      <c r="B45" t="s">
        <v>24</v>
      </c>
      <c r="C45" t="s">
        <v>25</v>
      </c>
      <c r="D45">
        <v>45907</v>
      </c>
      <c r="E45" t="s">
        <v>24</v>
      </c>
      <c r="F45" t="s">
        <v>25</v>
      </c>
    </row>
    <row r="46" spans="1:6" x14ac:dyDescent="0.3">
      <c r="B46" t="s">
        <v>34</v>
      </c>
      <c r="C46" t="s">
        <v>35</v>
      </c>
      <c r="D46" t="s">
        <v>414</v>
      </c>
      <c r="E46" t="s">
        <v>34</v>
      </c>
      <c r="F46" t="s">
        <v>35</v>
      </c>
    </row>
    <row r="47" spans="1:6" x14ac:dyDescent="0.3">
      <c r="A47">
        <v>45880</v>
      </c>
      <c r="B47" t="s">
        <v>24</v>
      </c>
      <c r="C47" t="s">
        <v>25</v>
      </c>
      <c r="D47">
        <v>45880</v>
      </c>
      <c r="E47" t="s">
        <v>24</v>
      </c>
      <c r="F47" t="s">
        <v>25</v>
      </c>
    </row>
    <row r="48" spans="1:6" x14ac:dyDescent="0.3">
      <c r="A48">
        <v>45888</v>
      </c>
      <c r="B48" t="s">
        <v>24</v>
      </c>
      <c r="C48" t="s">
        <v>25</v>
      </c>
      <c r="D48">
        <v>45888</v>
      </c>
      <c r="E48" t="s">
        <v>24</v>
      </c>
      <c r="F48" t="s">
        <v>25</v>
      </c>
    </row>
    <row r="49" spans="1:6" x14ac:dyDescent="0.3">
      <c r="A49">
        <v>45872</v>
      </c>
      <c r="B49" t="s">
        <v>24</v>
      </c>
      <c r="C49" t="s">
        <v>25</v>
      </c>
      <c r="D49">
        <v>45872</v>
      </c>
      <c r="E49" t="s">
        <v>24</v>
      </c>
      <c r="F49" t="s">
        <v>25</v>
      </c>
    </row>
    <row r="50" spans="1:6" x14ac:dyDescent="0.3">
      <c r="B50" t="s">
        <v>34</v>
      </c>
      <c r="C50" t="s">
        <v>35</v>
      </c>
      <c r="D50" t="s">
        <v>414</v>
      </c>
      <c r="E50" t="s">
        <v>34</v>
      </c>
      <c r="F50" t="s">
        <v>35</v>
      </c>
    </row>
    <row r="51" spans="1:6" x14ac:dyDescent="0.3">
      <c r="A51">
        <v>45884</v>
      </c>
      <c r="B51" t="s">
        <v>24</v>
      </c>
      <c r="C51" t="s">
        <v>25</v>
      </c>
      <c r="D51">
        <v>45884</v>
      </c>
      <c r="E51" t="s">
        <v>24</v>
      </c>
      <c r="F51" t="s">
        <v>25</v>
      </c>
    </row>
    <row r="52" spans="1:6" x14ac:dyDescent="0.3">
      <c r="A52">
        <v>45887</v>
      </c>
      <c r="B52" t="s">
        <v>24</v>
      </c>
      <c r="C52" t="s">
        <v>25</v>
      </c>
      <c r="D52">
        <v>45887</v>
      </c>
      <c r="E52" t="s">
        <v>24</v>
      </c>
      <c r="F52" t="s">
        <v>25</v>
      </c>
    </row>
    <row r="53" spans="1:6" x14ac:dyDescent="0.3">
      <c r="A53">
        <v>45923</v>
      </c>
      <c r="B53" t="s">
        <v>24</v>
      </c>
      <c r="C53" t="s">
        <v>25</v>
      </c>
      <c r="D53">
        <v>45923</v>
      </c>
      <c r="E53" t="s">
        <v>24</v>
      </c>
      <c r="F53" t="s">
        <v>25</v>
      </c>
    </row>
    <row r="54" spans="1:6" x14ac:dyDescent="0.3">
      <c r="B54" t="s">
        <v>34</v>
      </c>
      <c r="C54" t="s">
        <v>67</v>
      </c>
      <c r="D54" t="s">
        <v>414</v>
      </c>
      <c r="E54" t="s">
        <v>34</v>
      </c>
      <c r="F54" t="s">
        <v>67</v>
      </c>
    </row>
    <row r="55" spans="1:6" x14ac:dyDescent="0.3">
      <c r="A55">
        <v>45887</v>
      </c>
      <c r="B55" t="s">
        <v>24</v>
      </c>
      <c r="C55" t="s">
        <v>25</v>
      </c>
      <c r="D55">
        <v>45887</v>
      </c>
      <c r="E55" t="s">
        <v>24</v>
      </c>
      <c r="F55" t="s">
        <v>25</v>
      </c>
    </row>
    <row r="56" spans="1:6" x14ac:dyDescent="0.3">
      <c r="B56" t="s">
        <v>34</v>
      </c>
      <c r="C56" t="s">
        <v>35</v>
      </c>
      <c r="D56" t="s">
        <v>414</v>
      </c>
      <c r="E56" t="s">
        <v>34</v>
      </c>
      <c r="F56" t="s">
        <v>35</v>
      </c>
    </row>
    <row r="57" spans="1:6" x14ac:dyDescent="0.3">
      <c r="B57" t="s">
        <v>34</v>
      </c>
      <c r="C57" t="s">
        <v>60</v>
      </c>
      <c r="D57" t="s">
        <v>414</v>
      </c>
      <c r="E57" t="s">
        <v>34</v>
      </c>
      <c r="F57" t="s">
        <v>60</v>
      </c>
    </row>
    <row r="58" spans="1:6" x14ac:dyDescent="0.3">
      <c r="A58">
        <v>45906</v>
      </c>
      <c r="B58" t="s">
        <v>24</v>
      </c>
      <c r="C58" t="s">
        <v>25</v>
      </c>
      <c r="D58">
        <v>45906</v>
      </c>
      <c r="E58" t="s">
        <v>24</v>
      </c>
      <c r="F58" t="s">
        <v>25</v>
      </c>
    </row>
    <row r="59" spans="1:6" x14ac:dyDescent="0.3">
      <c r="A59">
        <v>45902</v>
      </c>
      <c r="B59" t="s">
        <v>24</v>
      </c>
      <c r="C59" t="s">
        <v>25</v>
      </c>
      <c r="D59">
        <v>45902</v>
      </c>
      <c r="E59" t="s">
        <v>24</v>
      </c>
      <c r="F59" t="s">
        <v>25</v>
      </c>
    </row>
    <row r="60" spans="1:6" x14ac:dyDescent="0.3">
      <c r="A60">
        <v>45920</v>
      </c>
      <c r="B60" t="s">
        <v>24</v>
      </c>
      <c r="C60" t="s">
        <v>25</v>
      </c>
      <c r="D60">
        <v>45920</v>
      </c>
      <c r="E60" t="s">
        <v>24</v>
      </c>
      <c r="F60" t="s">
        <v>25</v>
      </c>
    </row>
    <row r="61" spans="1:6" x14ac:dyDescent="0.3">
      <c r="A61">
        <v>45913</v>
      </c>
      <c r="B61" t="s">
        <v>24</v>
      </c>
      <c r="C61" t="s">
        <v>25</v>
      </c>
      <c r="D61">
        <v>45913</v>
      </c>
      <c r="E61" t="s">
        <v>24</v>
      </c>
      <c r="F61" t="s">
        <v>25</v>
      </c>
    </row>
    <row r="62" spans="1:6" x14ac:dyDescent="0.3">
      <c r="A62">
        <v>45918</v>
      </c>
      <c r="B62" t="s">
        <v>24</v>
      </c>
      <c r="C62" t="s">
        <v>25</v>
      </c>
      <c r="D62">
        <v>45918</v>
      </c>
      <c r="E62" t="s">
        <v>24</v>
      </c>
      <c r="F62" t="s">
        <v>25</v>
      </c>
    </row>
    <row r="63" spans="1:6" x14ac:dyDescent="0.3">
      <c r="A63">
        <v>45915</v>
      </c>
      <c r="B63" t="s">
        <v>24</v>
      </c>
      <c r="C63" t="s">
        <v>25</v>
      </c>
      <c r="D63">
        <v>45915</v>
      </c>
      <c r="E63" t="s">
        <v>24</v>
      </c>
      <c r="F63" t="s">
        <v>25</v>
      </c>
    </row>
    <row r="64" spans="1:6" x14ac:dyDescent="0.3">
      <c r="B64" t="s">
        <v>24</v>
      </c>
      <c r="C64" t="s">
        <v>25</v>
      </c>
      <c r="D64" t="s">
        <v>415</v>
      </c>
      <c r="E64" t="s">
        <v>24</v>
      </c>
      <c r="F64" t="s">
        <v>25</v>
      </c>
    </row>
    <row r="65" spans="1:6" x14ac:dyDescent="0.3">
      <c r="A65">
        <v>45879</v>
      </c>
      <c r="B65" t="s">
        <v>24</v>
      </c>
      <c r="C65" t="s">
        <v>25</v>
      </c>
      <c r="D65">
        <v>45879</v>
      </c>
      <c r="E65" t="s">
        <v>24</v>
      </c>
      <c r="F65" t="s">
        <v>25</v>
      </c>
    </row>
    <row r="66" spans="1:6" x14ac:dyDescent="0.3">
      <c r="A66">
        <v>45924</v>
      </c>
      <c r="B66" t="s">
        <v>24</v>
      </c>
      <c r="C66" t="s">
        <v>25</v>
      </c>
      <c r="D66">
        <v>45924</v>
      </c>
      <c r="E66" t="s">
        <v>24</v>
      </c>
      <c r="F66" t="s">
        <v>25</v>
      </c>
    </row>
    <row r="67" spans="1:6" x14ac:dyDescent="0.3">
      <c r="A67">
        <v>45880</v>
      </c>
      <c r="B67" t="s">
        <v>24</v>
      </c>
      <c r="C67" t="s">
        <v>25</v>
      </c>
      <c r="D67">
        <v>45880</v>
      </c>
      <c r="E67" t="s">
        <v>24</v>
      </c>
      <c r="F67" t="s">
        <v>25</v>
      </c>
    </row>
    <row r="68" spans="1:6" x14ac:dyDescent="0.3">
      <c r="B68" t="s">
        <v>24</v>
      </c>
      <c r="C68" t="s">
        <v>60</v>
      </c>
      <c r="D68" t="s">
        <v>415</v>
      </c>
      <c r="E68" t="s">
        <v>24</v>
      </c>
      <c r="F68" t="s">
        <v>25</v>
      </c>
    </row>
    <row r="69" spans="1:6" x14ac:dyDescent="0.3">
      <c r="A69">
        <v>45887</v>
      </c>
      <c r="B69" t="s">
        <v>24</v>
      </c>
      <c r="C69" t="s">
        <v>25</v>
      </c>
      <c r="D69">
        <v>45887</v>
      </c>
      <c r="E69" t="s">
        <v>24</v>
      </c>
      <c r="F69" t="s">
        <v>25</v>
      </c>
    </row>
    <row r="70" spans="1:6" x14ac:dyDescent="0.3">
      <c r="A70">
        <v>45885</v>
      </c>
      <c r="B70" t="s">
        <v>24</v>
      </c>
      <c r="C70" t="s">
        <v>25</v>
      </c>
      <c r="D70">
        <v>45885</v>
      </c>
      <c r="E70" t="s">
        <v>24</v>
      </c>
      <c r="F70" t="s">
        <v>25</v>
      </c>
    </row>
    <row r="71" spans="1:6" x14ac:dyDescent="0.3">
      <c r="A71">
        <v>45885</v>
      </c>
      <c r="B71" t="s">
        <v>24</v>
      </c>
      <c r="C71" t="s">
        <v>25</v>
      </c>
      <c r="D71">
        <v>45885</v>
      </c>
      <c r="E71" t="s">
        <v>24</v>
      </c>
      <c r="F71" t="s">
        <v>25</v>
      </c>
    </row>
    <row r="72" spans="1:6" x14ac:dyDescent="0.3">
      <c r="A72">
        <v>45916</v>
      </c>
      <c r="B72" t="s">
        <v>24</v>
      </c>
      <c r="C72" t="s">
        <v>25</v>
      </c>
      <c r="D72">
        <v>45916</v>
      </c>
      <c r="E72" t="s">
        <v>24</v>
      </c>
      <c r="F72" t="s">
        <v>25</v>
      </c>
    </row>
    <row r="73" spans="1:6" x14ac:dyDescent="0.3">
      <c r="B73" t="s">
        <v>34</v>
      </c>
      <c r="C73" t="s">
        <v>60</v>
      </c>
      <c r="D73" t="s">
        <v>414</v>
      </c>
      <c r="E73" t="s">
        <v>34</v>
      </c>
      <c r="F73" t="s">
        <v>60</v>
      </c>
    </row>
    <row r="74" spans="1:6" x14ac:dyDescent="0.3">
      <c r="A74">
        <v>45900</v>
      </c>
      <c r="B74" t="s">
        <v>24</v>
      </c>
      <c r="C74" t="s">
        <v>25</v>
      </c>
      <c r="D74">
        <v>45900</v>
      </c>
      <c r="E74" t="s">
        <v>24</v>
      </c>
      <c r="F74" t="s">
        <v>25</v>
      </c>
    </row>
    <row r="75" spans="1:6" x14ac:dyDescent="0.3">
      <c r="A75">
        <v>45918</v>
      </c>
      <c r="B75" t="s">
        <v>24</v>
      </c>
      <c r="C75" t="s">
        <v>25</v>
      </c>
      <c r="D75">
        <v>45918</v>
      </c>
      <c r="E75" t="s">
        <v>24</v>
      </c>
      <c r="F75" t="s">
        <v>25</v>
      </c>
    </row>
    <row r="76" spans="1:6" x14ac:dyDescent="0.3">
      <c r="B76" t="s">
        <v>34</v>
      </c>
      <c r="C76" t="s">
        <v>35</v>
      </c>
      <c r="D76" t="s">
        <v>414</v>
      </c>
      <c r="E76" t="s">
        <v>34</v>
      </c>
      <c r="F76" t="s">
        <v>35</v>
      </c>
    </row>
    <row r="77" spans="1:6" x14ac:dyDescent="0.3">
      <c r="B77" t="s">
        <v>24</v>
      </c>
      <c r="C77" t="s">
        <v>25</v>
      </c>
      <c r="D77" t="s">
        <v>415</v>
      </c>
      <c r="E77" t="s">
        <v>24</v>
      </c>
      <c r="F77" t="s">
        <v>25</v>
      </c>
    </row>
    <row r="78" spans="1:6" x14ac:dyDescent="0.3">
      <c r="B78" t="s">
        <v>24</v>
      </c>
      <c r="C78" t="s">
        <v>25</v>
      </c>
      <c r="D78" t="s">
        <v>415</v>
      </c>
      <c r="E78" t="s">
        <v>24</v>
      </c>
      <c r="F78" t="s">
        <v>25</v>
      </c>
    </row>
    <row r="79" spans="1:6" x14ac:dyDescent="0.3">
      <c r="A79">
        <v>45928</v>
      </c>
      <c r="B79" t="s">
        <v>24</v>
      </c>
      <c r="C79" t="s">
        <v>25</v>
      </c>
      <c r="D79">
        <v>45928</v>
      </c>
      <c r="E79" t="s">
        <v>24</v>
      </c>
      <c r="F79" t="s">
        <v>25</v>
      </c>
    </row>
    <row r="80" spans="1:6" x14ac:dyDescent="0.3">
      <c r="B80" t="s">
        <v>34</v>
      </c>
      <c r="C80" t="s">
        <v>60</v>
      </c>
      <c r="D80" t="s">
        <v>414</v>
      </c>
      <c r="E80" t="s">
        <v>34</v>
      </c>
      <c r="F80" t="s">
        <v>60</v>
      </c>
    </row>
    <row r="81" spans="1:6" x14ac:dyDescent="0.3">
      <c r="A81">
        <v>45879</v>
      </c>
      <c r="B81" t="s">
        <v>24</v>
      </c>
      <c r="C81" t="s">
        <v>25</v>
      </c>
      <c r="D81">
        <v>45879</v>
      </c>
      <c r="E81" t="s">
        <v>24</v>
      </c>
      <c r="F81" t="s">
        <v>25</v>
      </c>
    </row>
    <row r="82" spans="1:6" x14ac:dyDescent="0.3">
      <c r="A82">
        <v>45903</v>
      </c>
      <c r="B82" t="s">
        <v>24</v>
      </c>
      <c r="C82" t="s">
        <v>25</v>
      </c>
      <c r="D82">
        <v>45903</v>
      </c>
      <c r="E82" t="s">
        <v>24</v>
      </c>
      <c r="F82" t="s">
        <v>25</v>
      </c>
    </row>
    <row r="83" spans="1:6" x14ac:dyDescent="0.3">
      <c r="A83">
        <v>45893</v>
      </c>
      <c r="B83" t="s">
        <v>24</v>
      </c>
      <c r="C83" t="s">
        <v>25</v>
      </c>
      <c r="D83">
        <v>45893</v>
      </c>
      <c r="E83" t="s">
        <v>24</v>
      </c>
      <c r="F83" t="s">
        <v>25</v>
      </c>
    </row>
    <row r="84" spans="1:6" x14ac:dyDescent="0.3">
      <c r="A84">
        <v>45922</v>
      </c>
      <c r="B84" t="s">
        <v>24</v>
      </c>
      <c r="C84" t="s">
        <v>25</v>
      </c>
      <c r="D84">
        <v>45922</v>
      </c>
      <c r="E84" t="s">
        <v>24</v>
      </c>
      <c r="F84" t="s">
        <v>25</v>
      </c>
    </row>
    <row r="85" spans="1:6" x14ac:dyDescent="0.3">
      <c r="B85" t="s">
        <v>34</v>
      </c>
      <c r="C85" t="s">
        <v>35</v>
      </c>
      <c r="D85" t="s">
        <v>414</v>
      </c>
      <c r="E85" t="s">
        <v>34</v>
      </c>
      <c r="F85" t="s">
        <v>35</v>
      </c>
    </row>
    <row r="86" spans="1:6" x14ac:dyDescent="0.3">
      <c r="A86">
        <v>45903</v>
      </c>
      <c r="B86" t="s">
        <v>24</v>
      </c>
      <c r="C86" t="s">
        <v>67</v>
      </c>
      <c r="D86">
        <v>45903</v>
      </c>
      <c r="E86" t="s">
        <v>24</v>
      </c>
      <c r="F86" t="s">
        <v>25</v>
      </c>
    </row>
    <row r="87" spans="1:6" x14ac:dyDescent="0.3">
      <c r="A87">
        <v>45882</v>
      </c>
      <c r="B87" t="s">
        <v>24</v>
      </c>
      <c r="C87" t="s">
        <v>25</v>
      </c>
      <c r="D87">
        <v>45882</v>
      </c>
      <c r="E87" t="s">
        <v>24</v>
      </c>
      <c r="F87" t="s">
        <v>25</v>
      </c>
    </row>
    <row r="88" spans="1:6" x14ac:dyDescent="0.3">
      <c r="A88">
        <v>45883</v>
      </c>
      <c r="B88" t="s">
        <v>24</v>
      </c>
      <c r="C88" t="s">
        <v>25</v>
      </c>
      <c r="D88">
        <v>45883</v>
      </c>
      <c r="E88" t="s">
        <v>24</v>
      </c>
      <c r="F88" t="s">
        <v>25</v>
      </c>
    </row>
    <row r="89" spans="1:6" x14ac:dyDescent="0.3">
      <c r="A89">
        <v>45928</v>
      </c>
      <c r="B89" t="s">
        <v>24</v>
      </c>
      <c r="C89" t="s">
        <v>25</v>
      </c>
      <c r="D89">
        <v>45928</v>
      </c>
      <c r="E89" t="s">
        <v>24</v>
      </c>
      <c r="F89" t="s">
        <v>25</v>
      </c>
    </row>
    <row r="90" spans="1:6" x14ac:dyDescent="0.3">
      <c r="A90">
        <v>45927</v>
      </c>
      <c r="B90" t="s">
        <v>24</v>
      </c>
      <c r="C90" t="s">
        <v>25</v>
      </c>
      <c r="D90">
        <v>45927</v>
      </c>
      <c r="E90" t="s">
        <v>24</v>
      </c>
      <c r="F90" t="s">
        <v>25</v>
      </c>
    </row>
    <row r="91" spans="1:6" x14ac:dyDescent="0.3">
      <c r="A91">
        <v>45914</v>
      </c>
      <c r="B91" t="s">
        <v>24</v>
      </c>
      <c r="C91" t="s">
        <v>25</v>
      </c>
      <c r="D91">
        <v>45914</v>
      </c>
      <c r="E91" t="s">
        <v>24</v>
      </c>
      <c r="F91" t="s">
        <v>25</v>
      </c>
    </row>
    <row r="92" spans="1:6" x14ac:dyDescent="0.3">
      <c r="B92" t="s">
        <v>34</v>
      </c>
      <c r="C92" t="s">
        <v>60</v>
      </c>
      <c r="D92" t="s">
        <v>414</v>
      </c>
      <c r="E92" t="s">
        <v>34</v>
      </c>
      <c r="F92" t="s">
        <v>60</v>
      </c>
    </row>
    <row r="93" spans="1:6" x14ac:dyDescent="0.3">
      <c r="A93">
        <v>45888</v>
      </c>
      <c r="B93" t="s">
        <v>24</v>
      </c>
      <c r="C93" t="s">
        <v>25</v>
      </c>
      <c r="D93">
        <v>45888</v>
      </c>
      <c r="E93" t="s">
        <v>24</v>
      </c>
      <c r="F93" t="s">
        <v>25</v>
      </c>
    </row>
    <row r="94" spans="1:6" x14ac:dyDescent="0.3">
      <c r="A94">
        <v>45917</v>
      </c>
      <c r="B94" t="s">
        <v>24</v>
      </c>
      <c r="C94" t="s">
        <v>25</v>
      </c>
      <c r="D94">
        <v>45917</v>
      </c>
      <c r="E94" t="s">
        <v>24</v>
      </c>
      <c r="F94" t="s">
        <v>25</v>
      </c>
    </row>
    <row r="95" spans="1:6" x14ac:dyDescent="0.3">
      <c r="B95" t="s">
        <v>34</v>
      </c>
      <c r="C95" t="s">
        <v>67</v>
      </c>
      <c r="D95" t="s">
        <v>414</v>
      </c>
      <c r="E95" t="s">
        <v>34</v>
      </c>
      <c r="F95" t="s">
        <v>67</v>
      </c>
    </row>
    <row r="96" spans="1:6" x14ac:dyDescent="0.3">
      <c r="A96">
        <v>45901</v>
      </c>
      <c r="B96" t="s">
        <v>24</v>
      </c>
      <c r="C96" t="s">
        <v>25</v>
      </c>
      <c r="D96">
        <v>45901</v>
      </c>
      <c r="E96" t="s">
        <v>24</v>
      </c>
      <c r="F96" t="s">
        <v>25</v>
      </c>
    </row>
    <row r="97" spans="1:6" x14ac:dyDescent="0.3">
      <c r="A97">
        <v>45913</v>
      </c>
      <c r="B97" t="s">
        <v>24</v>
      </c>
      <c r="C97" t="s">
        <v>35</v>
      </c>
      <c r="D97">
        <v>45913</v>
      </c>
      <c r="E97" t="s">
        <v>24</v>
      </c>
      <c r="F97" t="s">
        <v>25</v>
      </c>
    </row>
    <row r="98" spans="1:6" x14ac:dyDescent="0.3">
      <c r="A98">
        <v>45886</v>
      </c>
      <c r="B98" t="s">
        <v>24</v>
      </c>
      <c r="C98" t="s">
        <v>25</v>
      </c>
      <c r="D98">
        <v>45886</v>
      </c>
      <c r="E98" t="s">
        <v>24</v>
      </c>
      <c r="F98" t="s">
        <v>25</v>
      </c>
    </row>
    <row r="99" spans="1:6" x14ac:dyDescent="0.3">
      <c r="B99" t="s">
        <v>34</v>
      </c>
      <c r="C99" t="s">
        <v>60</v>
      </c>
      <c r="D99" t="s">
        <v>414</v>
      </c>
      <c r="E99" t="s">
        <v>34</v>
      </c>
      <c r="F99" t="s">
        <v>60</v>
      </c>
    </row>
    <row r="100" spans="1:6" x14ac:dyDescent="0.3">
      <c r="A100">
        <v>45921</v>
      </c>
      <c r="B100" t="s">
        <v>24</v>
      </c>
      <c r="C100" t="s">
        <v>25</v>
      </c>
      <c r="D100">
        <v>45921</v>
      </c>
      <c r="E100" t="s">
        <v>24</v>
      </c>
      <c r="F100" t="s">
        <v>25</v>
      </c>
    </row>
    <row r="101" spans="1:6" x14ac:dyDescent="0.3">
      <c r="A101">
        <v>45900</v>
      </c>
      <c r="B101" t="s">
        <v>24</v>
      </c>
      <c r="C101" t="s">
        <v>25</v>
      </c>
      <c r="D101">
        <v>45900</v>
      </c>
      <c r="E101" t="s">
        <v>24</v>
      </c>
      <c r="F101" t="s">
        <v>25</v>
      </c>
    </row>
    <row r="102" spans="1:6" x14ac:dyDescent="0.3">
      <c r="A102">
        <v>45892</v>
      </c>
      <c r="B102" t="s">
        <v>24</v>
      </c>
      <c r="C102" t="s">
        <v>25</v>
      </c>
      <c r="D102">
        <v>45892</v>
      </c>
      <c r="E102" t="s">
        <v>24</v>
      </c>
      <c r="F102" t="s">
        <v>25</v>
      </c>
    </row>
    <row r="103" spans="1:6" x14ac:dyDescent="0.3">
      <c r="A103">
        <v>45893</v>
      </c>
      <c r="B103" t="s">
        <v>24</v>
      </c>
      <c r="C103" t="s">
        <v>25</v>
      </c>
      <c r="D103">
        <v>45893</v>
      </c>
      <c r="E103" t="s">
        <v>24</v>
      </c>
      <c r="F103" t="s">
        <v>25</v>
      </c>
    </row>
    <row r="104" spans="1:6" x14ac:dyDescent="0.3">
      <c r="B104" t="s">
        <v>24</v>
      </c>
      <c r="C104" t="s">
        <v>25</v>
      </c>
      <c r="D104" t="s">
        <v>415</v>
      </c>
      <c r="E104" t="s">
        <v>24</v>
      </c>
      <c r="F104" t="s">
        <v>25</v>
      </c>
    </row>
    <row r="105" spans="1:6" x14ac:dyDescent="0.3">
      <c r="A105">
        <v>45914</v>
      </c>
      <c r="B105" t="s">
        <v>24</v>
      </c>
      <c r="C105" t="s">
        <v>25</v>
      </c>
      <c r="D105">
        <v>45914</v>
      </c>
      <c r="E105" t="s">
        <v>24</v>
      </c>
      <c r="F105" t="s">
        <v>25</v>
      </c>
    </row>
    <row r="106" spans="1:6" x14ac:dyDescent="0.3">
      <c r="B106" t="s">
        <v>34</v>
      </c>
      <c r="C106" t="s">
        <v>67</v>
      </c>
      <c r="D106" t="s">
        <v>414</v>
      </c>
      <c r="E106" t="s">
        <v>34</v>
      </c>
      <c r="F106" t="s">
        <v>67</v>
      </c>
    </row>
    <row r="107" spans="1:6" x14ac:dyDescent="0.3">
      <c r="A107">
        <v>45888</v>
      </c>
      <c r="B107" t="s">
        <v>24</v>
      </c>
      <c r="C107" t="s">
        <v>25</v>
      </c>
      <c r="D107">
        <v>45888</v>
      </c>
      <c r="E107" t="s">
        <v>24</v>
      </c>
      <c r="F107" t="s">
        <v>25</v>
      </c>
    </row>
    <row r="108" spans="1:6" x14ac:dyDescent="0.3">
      <c r="A108">
        <v>45882</v>
      </c>
      <c r="B108" t="s">
        <v>24</v>
      </c>
      <c r="C108" t="s">
        <v>25</v>
      </c>
      <c r="D108">
        <v>45882</v>
      </c>
      <c r="E108" t="s">
        <v>24</v>
      </c>
      <c r="F108" t="s">
        <v>25</v>
      </c>
    </row>
    <row r="109" spans="1:6" x14ac:dyDescent="0.3">
      <c r="A109">
        <v>45913</v>
      </c>
      <c r="B109" t="s">
        <v>24</v>
      </c>
      <c r="C109" t="s">
        <v>35</v>
      </c>
      <c r="D109">
        <v>45913</v>
      </c>
      <c r="E109" t="s">
        <v>24</v>
      </c>
      <c r="F109" t="s">
        <v>25</v>
      </c>
    </row>
    <row r="110" spans="1:6" x14ac:dyDescent="0.3">
      <c r="A110">
        <v>45927</v>
      </c>
      <c r="B110" t="s">
        <v>24</v>
      </c>
      <c r="C110" t="s">
        <v>25</v>
      </c>
      <c r="D110">
        <v>45927</v>
      </c>
      <c r="E110" t="s">
        <v>24</v>
      </c>
      <c r="F110" t="s">
        <v>25</v>
      </c>
    </row>
    <row r="111" spans="1:6" x14ac:dyDescent="0.3">
      <c r="B111" t="s">
        <v>34</v>
      </c>
      <c r="C111" t="s">
        <v>35</v>
      </c>
      <c r="D111" t="s">
        <v>414</v>
      </c>
      <c r="E111" t="s">
        <v>34</v>
      </c>
      <c r="F111" t="s">
        <v>35</v>
      </c>
    </row>
    <row r="112" spans="1:6" x14ac:dyDescent="0.3">
      <c r="A112">
        <v>45920</v>
      </c>
      <c r="B112" t="s">
        <v>24</v>
      </c>
      <c r="C112" t="s">
        <v>25</v>
      </c>
      <c r="D112">
        <v>45920</v>
      </c>
      <c r="E112" t="s">
        <v>24</v>
      </c>
      <c r="F112" t="s">
        <v>25</v>
      </c>
    </row>
    <row r="113" spans="1:6" x14ac:dyDescent="0.3">
      <c r="B113" t="s">
        <v>34</v>
      </c>
      <c r="C113" t="s">
        <v>67</v>
      </c>
      <c r="D113" t="s">
        <v>414</v>
      </c>
      <c r="E113" t="s">
        <v>34</v>
      </c>
      <c r="F113" t="s">
        <v>67</v>
      </c>
    </row>
    <row r="114" spans="1:6" x14ac:dyDescent="0.3">
      <c r="B114" t="s">
        <v>24</v>
      </c>
      <c r="C114" t="s">
        <v>25</v>
      </c>
      <c r="D114" t="s">
        <v>415</v>
      </c>
      <c r="E114" t="s">
        <v>24</v>
      </c>
      <c r="F114" t="s">
        <v>25</v>
      </c>
    </row>
    <row r="115" spans="1:6" x14ac:dyDescent="0.3">
      <c r="A115">
        <v>45904</v>
      </c>
      <c r="B115" t="s">
        <v>24</v>
      </c>
      <c r="C115" t="s">
        <v>25</v>
      </c>
      <c r="D115">
        <v>45904</v>
      </c>
      <c r="E115" t="s">
        <v>24</v>
      </c>
      <c r="F115" t="s">
        <v>25</v>
      </c>
    </row>
    <row r="116" spans="1:6" x14ac:dyDescent="0.3">
      <c r="B116" t="s">
        <v>34</v>
      </c>
      <c r="C116" t="s">
        <v>67</v>
      </c>
      <c r="D116" t="s">
        <v>414</v>
      </c>
      <c r="E116" t="s">
        <v>34</v>
      </c>
      <c r="F116" t="s">
        <v>67</v>
      </c>
    </row>
    <row r="117" spans="1:6" x14ac:dyDescent="0.3">
      <c r="A117">
        <v>45902</v>
      </c>
      <c r="B117" t="s">
        <v>24</v>
      </c>
      <c r="C117" t="s">
        <v>25</v>
      </c>
      <c r="D117">
        <v>45902</v>
      </c>
      <c r="E117" t="s">
        <v>24</v>
      </c>
      <c r="F117" t="s">
        <v>25</v>
      </c>
    </row>
    <row r="118" spans="1:6" x14ac:dyDescent="0.3">
      <c r="A118">
        <v>45922</v>
      </c>
      <c r="B118" t="s">
        <v>24</v>
      </c>
      <c r="C118" t="s">
        <v>25</v>
      </c>
      <c r="D118">
        <v>45922</v>
      </c>
      <c r="E118" t="s">
        <v>24</v>
      </c>
      <c r="F118" t="s">
        <v>25</v>
      </c>
    </row>
    <row r="119" spans="1:6" x14ac:dyDescent="0.3">
      <c r="A119">
        <v>45879</v>
      </c>
      <c r="B119" t="s">
        <v>24</v>
      </c>
      <c r="C119" t="s">
        <v>25</v>
      </c>
      <c r="D119">
        <v>45879</v>
      </c>
      <c r="E119" t="s">
        <v>24</v>
      </c>
      <c r="F119" t="s">
        <v>25</v>
      </c>
    </row>
    <row r="120" spans="1:6" x14ac:dyDescent="0.3">
      <c r="B120" t="s">
        <v>24</v>
      </c>
      <c r="C120" t="s">
        <v>25</v>
      </c>
      <c r="D120" t="s">
        <v>415</v>
      </c>
      <c r="E120" t="s">
        <v>24</v>
      </c>
      <c r="F120" t="s">
        <v>25</v>
      </c>
    </row>
    <row r="121" spans="1:6" x14ac:dyDescent="0.3">
      <c r="B121" t="s">
        <v>34</v>
      </c>
      <c r="C121" t="s">
        <v>60</v>
      </c>
      <c r="D121" t="s">
        <v>414</v>
      </c>
      <c r="E121" t="s">
        <v>34</v>
      </c>
      <c r="F121" t="s">
        <v>60</v>
      </c>
    </row>
    <row r="122" spans="1:6" x14ac:dyDescent="0.3">
      <c r="A122">
        <v>45928</v>
      </c>
      <c r="B122" t="s">
        <v>24</v>
      </c>
      <c r="C122" t="s">
        <v>25</v>
      </c>
      <c r="D122">
        <v>45928</v>
      </c>
      <c r="E122" t="s">
        <v>24</v>
      </c>
      <c r="F122" t="s">
        <v>25</v>
      </c>
    </row>
    <row r="123" spans="1:6" x14ac:dyDescent="0.3">
      <c r="A123">
        <v>45902</v>
      </c>
      <c r="B123" t="s">
        <v>24</v>
      </c>
      <c r="C123" t="s">
        <v>25</v>
      </c>
      <c r="D123">
        <v>45902</v>
      </c>
      <c r="E123" t="s">
        <v>24</v>
      </c>
      <c r="F123" t="s">
        <v>25</v>
      </c>
    </row>
    <row r="124" spans="1:6" x14ac:dyDescent="0.3">
      <c r="A124">
        <v>45922</v>
      </c>
      <c r="B124" t="s">
        <v>24</v>
      </c>
      <c r="C124" t="s">
        <v>25</v>
      </c>
      <c r="D124">
        <v>45922</v>
      </c>
      <c r="E124" t="s">
        <v>24</v>
      </c>
      <c r="F124" t="s">
        <v>25</v>
      </c>
    </row>
    <row r="125" spans="1:6" x14ac:dyDescent="0.3">
      <c r="A125">
        <v>45875</v>
      </c>
      <c r="B125" t="s">
        <v>24</v>
      </c>
      <c r="C125" t="s">
        <v>25</v>
      </c>
      <c r="D125">
        <v>45875</v>
      </c>
      <c r="E125" t="s">
        <v>24</v>
      </c>
      <c r="F125" t="s">
        <v>25</v>
      </c>
    </row>
    <row r="126" spans="1:6" x14ac:dyDescent="0.3">
      <c r="A126">
        <v>45907</v>
      </c>
      <c r="B126" t="s">
        <v>24</v>
      </c>
      <c r="C126" t="s">
        <v>25</v>
      </c>
      <c r="D126">
        <v>45907</v>
      </c>
      <c r="E126" t="s">
        <v>24</v>
      </c>
      <c r="F126" t="s">
        <v>25</v>
      </c>
    </row>
    <row r="127" spans="1:6" x14ac:dyDescent="0.3">
      <c r="A127">
        <v>45896</v>
      </c>
      <c r="B127" t="s">
        <v>24</v>
      </c>
      <c r="C127" t="s">
        <v>25</v>
      </c>
      <c r="D127">
        <v>45896</v>
      </c>
      <c r="E127" t="s">
        <v>24</v>
      </c>
      <c r="F127" t="s">
        <v>25</v>
      </c>
    </row>
    <row r="128" spans="1:6" x14ac:dyDescent="0.3">
      <c r="A128">
        <v>45874</v>
      </c>
      <c r="B128" t="s">
        <v>24</v>
      </c>
      <c r="C128" t="s">
        <v>25</v>
      </c>
      <c r="D128">
        <v>45874</v>
      </c>
      <c r="E128" t="s">
        <v>24</v>
      </c>
      <c r="F128" t="s">
        <v>25</v>
      </c>
    </row>
    <row r="129" spans="1:6" x14ac:dyDescent="0.3">
      <c r="A129">
        <v>45919</v>
      </c>
      <c r="B129" t="s">
        <v>24</v>
      </c>
      <c r="C129" t="s">
        <v>25</v>
      </c>
      <c r="D129">
        <v>45919</v>
      </c>
      <c r="E129" t="s">
        <v>24</v>
      </c>
      <c r="F129" t="s">
        <v>25</v>
      </c>
    </row>
    <row r="130" spans="1:6" x14ac:dyDescent="0.3">
      <c r="A130">
        <v>45901</v>
      </c>
      <c r="B130" t="s">
        <v>24</v>
      </c>
      <c r="C130" t="s">
        <v>25</v>
      </c>
      <c r="D130">
        <v>45901</v>
      </c>
      <c r="E130" t="s">
        <v>24</v>
      </c>
      <c r="F130" t="s">
        <v>25</v>
      </c>
    </row>
    <row r="131" spans="1:6" x14ac:dyDescent="0.3">
      <c r="A131">
        <v>45883</v>
      </c>
      <c r="B131" t="s">
        <v>24</v>
      </c>
      <c r="C131" t="s">
        <v>25</v>
      </c>
      <c r="D131">
        <v>45883</v>
      </c>
      <c r="E131" t="s">
        <v>24</v>
      </c>
      <c r="F131" t="s">
        <v>25</v>
      </c>
    </row>
    <row r="132" spans="1:6" x14ac:dyDescent="0.3">
      <c r="A132">
        <v>45884</v>
      </c>
      <c r="B132" t="s">
        <v>24</v>
      </c>
      <c r="C132" t="s">
        <v>25</v>
      </c>
      <c r="D132">
        <v>45884</v>
      </c>
      <c r="E132" t="s">
        <v>24</v>
      </c>
      <c r="F132" t="s">
        <v>25</v>
      </c>
    </row>
    <row r="133" spans="1:6" x14ac:dyDescent="0.3">
      <c r="B133" t="s">
        <v>34</v>
      </c>
      <c r="C133" t="s">
        <v>35</v>
      </c>
      <c r="D133" t="s">
        <v>414</v>
      </c>
      <c r="E133" t="s">
        <v>34</v>
      </c>
      <c r="F133" t="s">
        <v>35</v>
      </c>
    </row>
    <row r="134" spans="1:6" x14ac:dyDescent="0.3">
      <c r="B134" t="s">
        <v>34</v>
      </c>
      <c r="C134" t="s">
        <v>35</v>
      </c>
      <c r="D134" t="s">
        <v>414</v>
      </c>
      <c r="E134" t="s">
        <v>34</v>
      </c>
      <c r="F134" t="s">
        <v>35</v>
      </c>
    </row>
    <row r="135" spans="1:6" x14ac:dyDescent="0.3">
      <c r="B135" t="s">
        <v>34</v>
      </c>
      <c r="C135" t="s">
        <v>35</v>
      </c>
      <c r="D135" t="s">
        <v>414</v>
      </c>
      <c r="E135" t="s">
        <v>34</v>
      </c>
      <c r="F135" t="s">
        <v>35</v>
      </c>
    </row>
    <row r="136" spans="1:6" x14ac:dyDescent="0.3">
      <c r="A136">
        <v>45921</v>
      </c>
      <c r="B136" t="s">
        <v>24</v>
      </c>
      <c r="C136" t="s">
        <v>25</v>
      </c>
      <c r="D136">
        <v>45921</v>
      </c>
      <c r="E136" t="s">
        <v>24</v>
      </c>
      <c r="F136" t="s">
        <v>25</v>
      </c>
    </row>
    <row r="137" spans="1:6" x14ac:dyDescent="0.3">
      <c r="A137">
        <v>45913</v>
      </c>
      <c r="B137" t="s">
        <v>24</v>
      </c>
      <c r="C137" t="s">
        <v>25</v>
      </c>
      <c r="D137">
        <v>45913</v>
      </c>
      <c r="E137" t="s">
        <v>24</v>
      </c>
      <c r="F137" t="s">
        <v>25</v>
      </c>
    </row>
    <row r="138" spans="1:6" x14ac:dyDescent="0.3">
      <c r="B138" t="s">
        <v>34</v>
      </c>
      <c r="C138" t="s">
        <v>60</v>
      </c>
      <c r="D138" t="s">
        <v>414</v>
      </c>
      <c r="E138" t="s">
        <v>34</v>
      </c>
      <c r="F138" t="s">
        <v>60</v>
      </c>
    </row>
    <row r="139" spans="1:6" x14ac:dyDescent="0.3">
      <c r="B139" t="s">
        <v>34</v>
      </c>
      <c r="C139" t="s">
        <v>35</v>
      </c>
      <c r="D139" t="s">
        <v>414</v>
      </c>
      <c r="E139" t="s">
        <v>34</v>
      </c>
      <c r="F139" t="s">
        <v>35</v>
      </c>
    </row>
    <row r="140" spans="1:6" x14ac:dyDescent="0.3">
      <c r="A140">
        <v>45899</v>
      </c>
      <c r="B140" t="s">
        <v>24</v>
      </c>
      <c r="C140" t="s">
        <v>25</v>
      </c>
      <c r="D140">
        <v>45899</v>
      </c>
      <c r="E140" t="s">
        <v>24</v>
      </c>
      <c r="F140" t="s">
        <v>25</v>
      </c>
    </row>
    <row r="141" spans="1:6" x14ac:dyDescent="0.3">
      <c r="A141">
        <v>45895</v>
      </c>
      <c r="B141" t="s">
        <v>24</v>
      </c>
      <c r="C141" t="s">
        <v>25</v>
      </c>
      <c r="D141">
        <v>45895</v>
      </c>
      <c r="E141" t="s">
        <v>24</v>
      </c>
      <c r="F141" t="s">
        <v>25</v>
      </c>
    </row>
    <row r="142" spans="1:6" x14ac:dyDescent="0.3">
      <c r="B142" t="s">
        <v>34</v>
      </c>
      <c r="C142" t="s">
        <v>35</v>
      </c>
      <c r="D142" t="s">
        <v>414</v>
      </c>
      <c r="E142" t="s">
        <v>34</v>
      </c>
      <c r="F142" t="s">
        <v>35</v>
      </c>
    </row>
    <row r="143" spans="1:6" x14ac:dyDescent="0.3">
      <c r="A143">
        <v>45895</v>
      </c>
      <c r="B143" t="s">
        <v>24</v>
      </c>
      <c r="C143" t="s">
        <v>25</v>
      </c>
      <c r="D143">
        <v>45895</v>
      </c>
      <c r="E143" t="s">
        <v>24</v>
      </c>
      <c r="F143" t="s">
        <v>25</v>
      </c>
    </row>
    <row r="144" spans="1:6" x14ac:dyDescent="0.3">
      <c r="B144" t="s">
        <v>34</v>
      </c>
      <c r="C144" t="s">
        <v>35</v>
      </c>
      <c r="D144" t="s">
        <v>414</v>
      </c>
      <c r="E144" t="s">
        <v>34</v>
      </c>
      <c r="F144" t="s">
        <v>35</v>
      </c>
    </row>
    <row r="145" spans="1:6" x14ac:dyDescent="0.3">
      <c r="A145">
        <v>45914</v>
      </c>
      <c r="B145" t="s">
        <v>24</v>
      </c>
      <c r="C145" t="s">
        <v>25</v>
      </c>
      <c r="D145">
        <v>45914</v>
      </c>
      <c r="E145" t="s">
        <v>24</v>
      </c>
      <c r="F145" t="s">
        <v>25</v>
      </c>
    </row>
    <row r="146" spans="1:6" x14ac:dyDescent="0.3">
      <c r="B146" t="s">
        <v>34</v>
      </c>
      <c r="C146" t="s">
        <v>35</v>
      </c>
      <c r="D146" t="s">
        <v>414</v>
      </c>
      <c r="E146" t="s">
        <v>34</v>
      </c>
      <c r="F146" t="s">
        <v>35</v>
      </c>
    </row>
    <row r="147" spans="1:6" x14ac:dyDescent="0.3">
      <c r="A147">
        <v>45894</v>
      </c>
      <c r="B147" t="s">
        <v>24</v>
      </c>
      <c r="C147" t="s">
        <v>25</v>
      </c>
      <c r="D147">
        <v>45894</v>
      </c>
      <c r="E147" t="s">
        <v>24</v>
      </c>
      <c r="F147" t="s">
        <v>25</v>
      </c>
    </row>
    <row r="148" spans="1:6" x14ac:dyDescent="0.3">
      <c r="A148">
        <v>45881</v>
      </c>
      <c r="B148" t="s">
        <v>24</v>
      </c>
      <c r="C148" t="s">
        <v>25</v>
      </c>
      <c r="D148">
        <v>45881</v>
      </c>
      <c r="E148" t="s">
        <v>24</v>
      </c>
      <c r="F148" t="s">
        <v>25</v>
      </c>
    </row>
    <row r="149" spans="1:6" x14ac:dyDescent="0.3">
      <c r="A149">
        <v>45895</v>
      </c>
      <c r="B149" t="s">
        <v>24</v>
      </c>
      <c r="C149" t="s">
        <v>25</v>
      </c>
      <c r="D149">
        <v>45895</v>
      </c>
      <c r="E149" t="s">
        <v>24</v>
      </c>
      <c r="F149" t="s">
        <v>25</v>
      </c>
    </row>
    <row r="150" spans="1:6" x14ac:dyDescent="0.3">
      <c r="A150">
        <v>45885</v>
      </c>
      <c r="B150" t="s">
        <v>24</v>
      </c>
      <c r="C150" t="s">
        <v>25</v>
      </c>
      <c r="D150">
        <v>45885</v>
      </c>
      <c r="E150" t="s">
        <v>24</v>
      </c>
      <c r="F150" t="s">
        <v>25</v>
      </c>
    </row>
    <row r="151" spans="1:6" x14ac:dyDescent="0.3">
      <c r="A151">
        <v>45920</v>
      </c>
      <c r="B151" t="s">
        <v>24</v>
      </c>
      <c r="C151" t="s">
        <v>67</v>
      </c>
      <c r="D151">
        <v>45920</v>
      </c>
      <c r="E151" t="s">
        <v>24</v>
      </c>
      <c r="F151" t="s">
        <v>25</v>
      </c>
    </row>
    <row r="152" spans="1:6" x14ac:dyDescent="0.3">
      <c r="A152">
        <v>45891</v>
      </c>
      <c r="B152" t="s">
        <v>24</v>
      </c>
      <c r="C152" t="s">
        <v>25</v>
      </c>
      <c r="D152">
        <v>45891</v>
      </c>
      <c r="E152" t="s">
        <v>24</v>
      </c>
      <c r="F152" t="s">
        <v>25</v>
      </c>
    </row>
    <row r="153" spans="1:6" x14ac:dyDescent="0.3">
      <c r="A153">
        <v>45900</v>
      </c>
      <c r="B153" t="s">
        <v>24</v>
      </c>
      <c r="C153" t="s">
        <v>25</v>
      </c>
      <c r="D153">
        <v>45900</v>
      </c>
      <c r="E153" t="s">
        <v>24</v>
      </c>
      <c r="F153" t="s">
        <v>25</v>
      </c>
    </row>
    <row r="154" spans="1:6" x14ac:dyDescent="0.3">
      <c r="B154" t="s">
        <v>34</v>
      </c>
      <c r="C154" t="s">
        <v>35</v>
      </c>
      <c r="D154" t="s">
        <v>414</v>
      </c>
      <c r="E154" t="s">
        <v>34</v>
      </c>
      <c r="F154" t="s">
        <v>35</v>
      </c>
    </row>
    <row r="155" spans="1:6" x14ac:dyDescent="0.3">
      <c r="A155">
        <v>45917</v>
      </c>
      <c r="B155" t="s">
        <v>24</v>
      </c>
      <c r="C155" t="s">
        <v>25</v>
      </c>
      <c r="D155">
        <v>45917</v>
      </c>
      <c r="E155" t="s">
        <v>24</v>
      </c>
      <c r="F155" t="s">
        <v>25</v>
      </c>
    </row>
    <row r="156" spans="1:6" x14ac:dyDescent="0.3">
      <c r="B156" t="s">
        <v>34</v>
      </c>
      <c r="C156" t="s">
        <v>35</v>
      </c>
      <c r="D156" t="s">
        <v>414</v>
      </c>
      <c r="E156" t="s">
        <v>34</v>
      </c>
      <c r="F156" t="s">
        <v>35</v>
      </c>
    </row>
    <row r="157" spans="1:6" x14ac:dyDescent="0.3">
      <c r="A157">
        <v>45895</v>
      </c>
      <c r="B157" t="s">
        <v>24</v>
      </c>
      <c r="C157" t="s">
        <v>25</v>
      </c>
      <c r="D157">
        <v>45895</v>
      </c>
      <c r="E157" t="s">
        <v>24</v>
      </c>
      <c r="F157" t="s">
        <v>25</v>
      </c>
    </row>
    <row r="158" spans="1:6" x14ac:dyDescent="0.3">
      <c r="A158">
        <v>45883</v>
      </c>
      <c r="B158" t="s">
        <v>24</v>
      </c>
      <c r="C158" t="s">
        <v>25</v>
      </c>
      <c r="D158">
        <v>45883</v>
      </c>
      <c r="E158" t="s">
        <v>24</v>
      </c>
      <c r="F158" t="s">
        <v>25</v>
      </c>
    </row>
    <row r="159" spans="1:6" x14ac:dyDescent="0.3">
      <c r="A159">
        <v>45921</v>
      </c>
      <c r="B159" t="s">
        <v>24</v>
      </c>
      <c r="C159" t="s">
        <v>25</v>
      </c>
      <c r="D159">
        <v>45921</v>
      </c>
      <c r="E159" t="s">
        <v>24</v>
      </c>
      <c r="F159" t="s">
        <v>25</v>
      </c>
    </row>
    <row r="160" spans="1:6" x14ac:dyDescent="0.3">
      <c r="B160" t="s">
        <v>34</v>
      </c>
      <c r="C160" t="s">
        <v>67</v>
      </c>
      <c r="D160" t="s">
        <v>414</v>
      </c>
      <c r="E160" t="s">
        <v>34</v>
      </c>
      <c r="F160" t="s">
        <v>67</v>
      </c>
    </row>
    <row r="161" spans="1:6" x14ac:dyDescent="0.3">
      <c r="A161">
        <v>45901</v>
      </c>
      <c r="B161" t="s">
        <v>24</v>
      </c>
      <c r="C161" t="s">
        <v>25</v>
      </c>
      <c r="D161">
        <v>45901</v>
      </c>
      <c r="E161" t="s">
        <v>24</v>
      </c>
      <c r="F161" t="s">
        <v>25</v>
      </c>
    </row>
    <row r="162" spans="1:6" x14ac:dyDescent="0.3">
      <c r="A162">
        <v>45902</v>
      </c>
      <c r="B162" t="s">
        <v>24</v>
      </c>
      <c r="C162" t="s">
        <v>25</v>
      </c>
      <c r="D162">
        <v>45902</v>
      </c>
      <c r="E162" t="s">
        <v>24</v>
      </c>
      <c r="F162" t="s">
        <v>25</v>
      </c>
    </row>
    <row r="163" spans="1:6" x14ac:dyDescent="0.3">
      <c r="A163">
        <v>45894</v>
      </c>
      <c r="B163" t="s">
        <v>24</v>
      </c>
      <c r="C163" t="s">
        <v>25</v>
      </c>
      <c r="D163">
        <v>45894</v>
      </c>
      <c r="E163" t="s">
        <v>24</v>
      </c>
      <c r="F163" t="s">
        <v>25</v>
      </c>
    </row>
    <row r="164" spans="1:6" x14ac:dyDescent="0.3">
      <c r="A164">
        <v>45904</v>
      </c>
      <c r="B164" t="s">
        <v>24</v>
      </c>
      <c r="C164" t="s">
        <v>25</v>
      </c>
      <c r="D164">
        <v>45904</v>
      </c>
      <c r="E164" t="s">
        <v>24</v>
      </c>
      <c r="F164" t="s">
        <v>25</v>
      </c>
    </row>
    <row r="165" spans="1:6" x14ac:dyDescent="0.3">
      <c r="B165" t="s">
        <v>34</v>
      </c>
      <c r="C165" t="s">
        <v>35</v>
      </c>
      <c r="D165" t="s">
        <v>414</v>
      </c>
      <c r="E165" t="s">
        <v>34</v>
      </c>
      <c r="F165" t="s">
        <v>35</v>
      </c>
    </row>
    <row r="166" spans="1:6" x14ac:dyDescent="0.3">
      <c r="A166">
        <v>45908</v>
      </c>
      <c r="B166" t="s">
        <v>24</v>
      </c>
      <c r="C166" t="s">
        <v>25</v>
      </c>
      <c r="D166">
        <v>45908</v>
      </c>
      <c r="E166" t="s">
        <v>24</v>
      </c>
      <c r="F166" t="s">
        <v>25</v>
      </c>
    </row>
    <row r="167" spans="1:6" x14ac:dyDescent="0.3">
      <c r="A167">
        <v>45919</v>
      </c>
      <c r="B167" t="s">
        <v>24</v>
      </c>
      <c r="C167" t="s">
        <v>25</v>
      </c>
      <c r="D167">
        <v>45919</v>
      </c>
      <c r="E167" t="s">
        <v>24</v>
      </c>
      <c r="F167" t="s">
        <v>25</v>
      </c>
    </row>
    <row r="168" spans="1:6" x14ac:dyDescent="0.3">
      <c r="B168" t="s">
        <v>34</v>
      </c>
      <c r="C168" t="s">
        <v>60</v>
      </c>
      <c r="D168" t="s">
        <v>414</v>
      </c>
      <c r="E168" t="s">
        <v>34</v>
      </c>
      <c r="F168" t="s">
        <v>60</v>
      </c>
    </row>
    <row r="169" spans="1:6" x14ac:dyDescent="0.3">
      <c r="A169">
        <v>45881</v>
      </c>
      <c r="B169" t="s">
        <v>24</v>
      </c>
      <c r="C169" t="s">
        <v>25</v>
      </c>
      <c r="D169">
        <v>45881</v>
      </c>
      <c r="E169" t="s">
        <v>24</v>
      </c>
      <c r="F169" t="s">
        <v>25</v>
      </c>
    </row>
    <row r="170" spans="1:6" x14ac:dyDescent="0.3">
      <c r="B170" t="s">
        <v>34</v>
      </c>
      <c r="C170" t="s">
        <v>67</v>
      </c>
      <c r="D170" t="s">
        <v>414</v>
      </c>
      <c r="E170" t="s">
        <v>34</v>
      </c>
      <c r="F170" t="s">
        <v>67</v>
      </c>
    </row>
    <row r="171" spans="1:6" x14ac:dyDescent="0.3">
      <c r="A171">
        <v>45916</v>
      </c>
      <c r="B171" t="s">
        <v>24</v>
      </c>
      <c r="C171" t="s">
        <v>25</v>
      </c>
      <c r="D171">
        <v>45916</v>
      </c>
      <c r="E171" t="s">
        <v>24</v>
      </c>
      <c r="F171" t="s">
        <v>25</v>
      </c>
    </row>
    <row r="172" spans="1:6" x14ac:dyDescent="0.3">
      <c r="B172" t="s">
        <v>34</v>
      </c>
      <c r="C172" t="s">
        <v>67</v>
      </c>
      <c r="D172" t="s">
        <v>414</v>
      </c>
      <c r="E172" t="s">
        <v>34</v>
      </c>
      <c r="F172" t="s">
        <v>67</v>
      </c>
    </row>
    <row r="173" spans="1:6" x14ac:dyDescent="0.3">
      <c r="B173" t="s">
        <v>34</v>
      </c>
      <c r="C173" t="s">
        <v>60</v>
      </c>
      <c r="D173" t="s">
        <v>414</v>
      </c>
      <c r="E173" t="s">
        <v>34</v>
      </c>
      <c r="F173" t="s">
        <v>60</v>
      </c>
    </row>
    <row r="174" spans="1:6" x14ac:dyDescent="0.3">
      <c r="A174">
        <v>45893</v>
      </c>
      <c r="B174" t="s">
        <v>24</v>
      </c>
      <c r="C174" t="s">
        <v>25</v>
      </c>
      <c r="D174">
        <v>45893</v>
      </c>
      <c r="E174" t="s">
        <v>24</v>
      </c>
      <c r="F174" t="s">
        <v>25</v>
      </c>
    </row>
    <row r="175" spans="1:6" x14ac:dyDescent="0.3">
      <c r="B175" t="s">
        <v>34</v>
      </c>
      <c r="C175" t="s">
        <v>60</v>
      </c>
      <c r="D175" t="s">
        <v>414</v>
      </c>
      <c r="E175" t="s">
        <v>34</v>
      </c>
      <c r="F175" t="s">
        <v>60</v>
      </c>
    </row>
    <row r="176" spans="1:6" x14ac:dyDescent="0.3">
      <c r="B176" t="s">
        <v>34</v>
      </c>
      <c r="C176" t="s">
        <v>67</v>
      </c>
      <c r="D176" t="s">
        <v>414</v>
      </c>
      <c r="E176" t="s">
        <v>34</v>
      </c>
      <c r="F176" t="s">
        <v>67</v>
      </c>
    </row>
    <row r="177" spans="1:6" x14ac:dyDescent="0.3">
      <c r="A177">
        <v>45904</v>
      </c>
      <c r="B177" t="s">
        <v>24</v>
      </c>
      <c r="C177" t="s">
        <v>25</v>
      </c>
      <c r="D177">
        <v>45904</v>
      </c>
      <c r="E177" t="s">
        <v>24</v>
      </c>
      <c r="F177" t="s">
        <v>25</v>
      </c>
    </row>
    <row r="178" spans="1:6" x14ac:dyDescent="0.3">
      <c r="A178">
        <v>45920</v>
      </c>
      <c r="B178" t="s">
        <v>24</v>
      </c>
      <c r="C178" t="s">
        <v>25</v>
      </c>
      <c r="D178">
        <v>45920</v>
      </c>
      <c r="E178" t="s">
        <v>24</v>
      </c>
      <c r="F178" t="s">
        <v>25</v>
      </c>
    </row>
    <row r="179" spans="1:6" x14ac:dyDescent="0.3">
      <c r="A179">
        <v>45905</v>
      </c>
      <c r="B179" t="s">
        <v>24</v>
      </c>
      <c r="C179" t="s">
        <v>25</v>
      </c>
      <c r="D179">
        <v>45905</v>
      </c>
      <c r="E179" t="s">
        <v>24</v>
      </c>
      <c r="F179" t="s">
        <v>25</v>
      </c>
    </row>
    <row r="180" spans="1:6" x14ac:dyDescent="0.3">
      <c r="B180" t="s">
        <v>34</v>
      </c>
      <c r="C180" t="s">
        <v>67</v>
      </c>
      <c r="D180" t="s">
        <v>414</v>
      </c>
      <c r="E180" t="s">
        <v>34</v>
      </c>
      <c r="F180" t="s">
        <v>67</v>
      </c>
    </row>
    <row r="181" spans="1:6" x14ac:dyDescent="0.3">
      <c r="A181">
        <v>45899</v>
      </c>
      <c r="B181" t="s">
        <v>24</v>
      </c>
      <c r="C181" t="s">
        <v>25</v>
      </c>
      <c r="D181">
        <v>45899</v>
      </c>
      <c r="E181" t="s">
        <v>24</v>
      </c>
      <c r="F181" t="s">
        <v>25</v>
      </c>
    </row>
    <row r="182" spans="1:6" x14ac:dyDescent="0.3">
      <c r="A182">
        <v>45918</v>
      </c>
      <c r="B182" t="s">
        <v>24</v>
      </c>
      <c r="C182" t="s">
        <v>25</v>
      </c>
      <c r="D182">
        <v>45918</v>
      </c>
      <c r="E182" t="s">
        <v>24</v>
      </c>
      <c r="F182" t="s">
        <v>25</v>
      </c>
    </row>
    <row r="183" spans="1:6" x14ac:dyDescent="0.3">
      <c r="A183">
        <v>45914</v>
      </c>
      <c r="B183" t="s">
        <v>24</v>
      </c>
      <c r="C183" t="s">
        <v>25</v>
      </c>
      <c r="D183">
        <v>45914</v>
      </c>
      <c r="E183" t="s">
        <v>24</v>
      </c>
      <c r="F183" t="s">
        <v>25</v>
      </c>
    </row>
    <row r="184" spans="1:6" x14ac:dyDescent="0.3">
      <c r="B184" t="s">
        <v>34</v>
      </c>
      <c r="C184" t="s">
        <v>67</v>
      </c>
      <c r="D184" t="s">
        <v>414</v>
      </c>
      <c r="E184" t="s">
        <v>34</v>
      </c>
      <c r="F184" t="s">
        <v>67</v>
      </c>
    </row>
    <row r="185" spans="1:6" x14ac:dyDescent="0.3">
      <c r="A185">
        <v>45903</v>
      </c>
      <c r="B185" t="s">
        <v>24</v>
      </c>
      <c r="C185" t="s">
        <v>25</v>
      </c>
      <c r="D185">
        <v>45903</v>
      </c>
      <c r="E185" t="s">
        <v>24</v>
      </c>
      <c r="F185" t="s">
        <v>25</v>
      </c>
    </row>
    <row r="186" spans="1:6" x14ac:dyDescent="0.3">
      <c r="A186">
        <v>45903</v>
      </c>
      <c r="B186" t="s">
        <v>24</v>
      </c>
      <c r="C186" t="s">
        <v>25</v>
      </c>
      <c r="D186">
        <v>45903</v>
      </c>
      <c r="E186" t="s">
        <v>24</v>
      </c>
      <c r="F186" t="s">
        <v>25</v>
      </c>
    </row>
    <row r="187" spans="1:6" x14ac:dyDescent="0.3">
      <c r="B187" t="s">
        <v>34</v>
      </c>
      <c r="C187" t="s">
        <v>35</v>
      </c>
      <c r="D187" t="s">
        <v>414</v>
      </c>
      <c r="E187" t="s">
        <v>34</v>
      </c>
      <c r="F187" t="s">
        <v>35</v>
      </c>
    </row>
    <row r="188" spans="1:6" x14ac:dyDescent="0.3">
      <c r="B188" t="s">
        <v>34</v>
      </c>
      <c r="C188" t="s">
        <v>60</v>
      </c>
      <c r="D188" t="s">
        <v>414</v>
      </c>
      <c r="E188" t="s">
        <v>34</v>
      </c>
      <c r="F188" t="s">
        <v>60</v>
      </c>
    </row>
    <row r="189" spans="1:6" x14ac:dyDescent="0.3">
      <c r="A189">
        <v>45901</v>
      </c>
      <c r="B189" t="s">
        <v>24</v>
      </c>
      <c r="C189" t="s">
        <v>25</v>
      </c>
      <c r="D189">
        <v>45901</v>
      </c>
      <c r="E189" t="s">
        <v>24</v>
      </c>
      <c r="F189" t="s">
        <v>25</v>
      </c>
    </row>
    <row r="190" spans="1:6" x14ac:dyDescent="0.3">
      <c r="A190">
        <v>45930</v>
      </c>
      <c r="B190" t="s">
        <v>24</v>
      </c>
      <c r="C190" t="s">
        <v>25</v>
      </c>
      <c r="D190">
        <v>45930</v>
      </c>
      <c r="E190" t="s">
        <v>24</v>
      </c>
      <c r="F190" t="s">
        <v>25</v>
      </c>
    </row>
    <row r="191" spans="1:6" x14ac:dyDescent="0.3">
      <c r="A191">
        <v>45905</v>
      </c>
      <c r="B191" t="s">
        <v>24</v>
      </c>
      <c r="C191" t="s">
        <v>25</v>
      </c>
      <c r="D191">
        <v>45905</v>
      </c>
      <c r="E191" t="s">
        <v>24</v>
      </c>
      <c r="F191" t="s">
        <v>25</v>
      </c>
    </row>
    <row r="192" spans="1:6" x14ac:dyDescent="0.3">
      <c r="B192" t="s">
        <v>34</v>
      </c>
      <c r="C192" t="s">
        <v>60</v>
      </c>
      <c r="D192" t="s">
        <v>414</v>
      </c>
      <c r="E192" t="s">
        <v>34</v>
      </c>
      <c r="F192" t="s">
        <v>60</v>
      </c>
    </row>
    <row r="193" spans="1:6" x14ac:dyDescent="0.3">
      <c r="A193">
        <v>45905</v>
      </c>
      <c r="B193" t="s">
        <v>24</v>
      </c>
      <c r="C193" t="s">
        <v>25</v>
      </c>
      <c r="D193">
        <v>45905</v>
      </c>
      <c r="E193" t="s">
        <v>24</v>
      </c>
      <c r="F193" t="s">
        <v>25</v>
      </c>
    </row>
    <row r="194" spans="1:6" x14ac:dyDescent="0.3">
      <c r="A194">
        <v>45883</v>
      </c>
      <c r="B194" t="s">
        <v>24</v>
      </c>
      <c r="C194" t="s">
        <v>25</v>
      </c>
      <c r="D194">
        <v>45883</v>
      </c>
      <c r="E194" t="s">
        <v>24</v>
      </c>
      <c r="F194" t="s">
        <v>25</v>
      </c>
    </row>
    <row r="195" spans="1:6" x14ac:dyDescent="0.3">
      <c r="A195">
        <v>45887</v>
      </c>
      <c r="B195" t="s">
        <v>24</v>
      </c>
      <c r="C195" t="s">
        <v>25</v>
      </c>
      <c r="D195">
        <v>45887</v>
      </c>
      <c r="E195" t="s">
        <v>24</v>
      </c>
      <c r="F195" t="s">
        <v>25</v>
      </c>
    </row>
    <row r="196" spans="1:6" x14ac:dyDescent="0.3">
      <c r="A196">
        <v>45876</v>
      </c>
      <c r="B196" t="s">
        <v>24</v>
      </c>
      <c r="C196" t="s">
        <v>25</v>
      </c>
      <c r="D196">
        <v>45876</v>
      </c>
      <c r="E196" t="s">
        <v>24</v>
      </c>
      <c r="F196" t="s">
        <v>25</v>
      </c>
    </row>
    <row r="197" spans="1:6" x14ac:dyDescent="0.3">
      <c r="B197" t="s">
        <v>34</v>
      </c>
      <c r="C197" t="s">
        <v>60</v>
      </c>
      <c r="D197" t="s">
        <v>414</v>
      </c>
      <c r="E197" t="s">
        <v>34</v>
      </c>
      <c r="F197" t="s">
        <v>60</v>
      </c>
    </row>
    <row r="198" spans="1:6" x14ac:dyDescent="0.3">
      <c r="A198">
        <v>45889</v>
      </c>
      <c r="B198" t="s">
        <v>24</v>
      </c>
      <c r="C198" t="s">
        <v>25</v>
      </c>
      <c r="D198">
        <v>45889</v>
      </c>
      <c r="E198" t="s">
        <v>24</v>
      </c>
      <c r="F198" t="s">
        <v>25</v>
      </c>
    </row>
    <row r="199" spans="1:6" x14ac:dyDescent="0.3">
      <c r="A199">
        <v>45932</v>
      </c>
      <c r="B199" t="s">
        <v>24</v>
      </c>
      <c r="C199" t="s">
        <v>25</v>
      </c>
      <c r="D199">
        <v>45932</v>
      </c>
      <c r="E199" t="s">
        <v>24</v>
      </c>
      <c r="F199" t="s">
        <v>25</v>
      </c>
    </row>
    <row r="200" spans="1:6" x14ac:dyDescent="0.3">
      <c r="A200">
        <v>45875</v>
      </c>
      <c r="B200" t="s">
        <v>24</v>
      </c>
      <c r="C200" t="s">
        <v>25</v>
      </c>
      <c r="D200">
        <v>45875</v>
      </c>
      <c r="E200" t="s">
        <v>24</v>
      </c>
      <c r="F200" t="s">
        <v>25</v>
      </c>
    </row>
    <row r="201" spans="1:6" x14ac:dyDescent="0.3">
      <c r="A201">
        <v>45899</v>
      </c>
      <c r="B201" t="s">
        <v>24</v>
      </c>
      <c r="C201" t="s">
        <v>25</v>
      </c>
      <c r="D201">
        <v>45899</v>
      </c>
      <c r="E201" t="s">
        <v>24</v>
      </c>
      <c r="F201" t="s">
        <v>25</v>
      </c>
    </row>
    <row r="202" spans="1:6" x14ac:dyDescent="0.3">
      <c r="A202">
        <v>45924</v>
      </c>
      <c r="B202" t="s">
        <v>24</v>
      </c>
      <c r="C202" t="s">
        <v>25</v>
      </c>
      <c r="D202">
        <v>45924</v>
      </c>
      <c r="E202" t="s">
        <v>24</v>
      </c>
      <c r="F202" t="s">
        <v>25</v>
      </c>
    </row>
    <row r="203" spans="1:6" x14ac:dyDescent="0.3">
      <c r="A203">
        <v>45909</v>
      </c>
      <c r="B203" t="s">
        <v>24</v>
      </c>
      <c r="C203" t="s">
        <v>35</v>
      </c>
      <c r="D203">
        <v>45909</v>
      </c>
      <c r="E203" t="s">
        <v>24</v>
      </c>
      <c r="F203" t="s">
        <v>25</v>
      </c>
    </row>
    <row r="204" spans="1:6" x14ac:dyDescent="0.3">
      <c r="A204">
        <v>45928</v>
      </c>
      <c r="B204" t="s">
        <v>24</v>
      </c>
      <c r="C204" t="s">
        <v>25</v>
      </c>
      <c r="D204">
        <v>45928</v>
      </c>
      <c r="E204" t="s">
        <v>24</v>
      </c>
      <c r="F204" t="s">
        <v>25</v>
      </c>
    </row>
    <row r="205" spans="1:6" x14ac:dyDescent="0.3">
      <c r="B205" t="s">
        <v>34</v>
      </c>
      <c r="C205" t="s">
        <v>35</v>
      </c>
      <c r="D205" t="s">
        <v>414</v>
      </c>
      <c r="E205" t="s">
        <v>34</v>
      </c>
      <c r="F205" t="s">
        <v>35</v>
      </c>
    </row>
    <row r="206" spans="1:6" x14ac:dyDescent="0.3">
      <c r="B206" t="s">
        <v>34</v>
      </c>
      <c r="C206" t="s">
        <v>35</v>
      </c>
      <c r="D206" t="s">
        <v>414</v>
      </c>
      <c r="E206" t="s">
        <v>34</v>
      </c>
      <c r="F206" t="s">
        <v>35</v>
      </c>
    </row>
    <row r="207" spans="1:6" x14ac:dyDescent="0.3">
      <c r="A207">
        <v>45923</v>
      </c>
      <c r="B207" t="s">
        <v>24</v>
      </c>
      <c r="C207" t="s">
        <v>25</v>
      </c>
      <c r="D207">
        <v>45923</v>
      </c>
      <c r="E207" t="s">
        <v>24</v>
      </c>
      <c r="F207" t="s">
        <v>25</v>
      </c>
    </row>
    <row r="208" spans="1:6" x14ac:dyDescent="0.3">
      <c r="A208">
        <v>45885</v>
      </c>
      <c r="B208" t="s">
        <v>24</v>
      </c>
      <c r="C208" t="s">
        <v>25</v>
      </c>
      <c r="D208">
        <v>45885</v>
      </c>
      <c r="E208" t="s">
        <v>24</v>
      </c>
      <c r="F208" t="s">
        <v>25</v>
      </c>
    </row>
    <row r="209" spans="1:6" x14ac:dyDescent="0.3">
      <c r="A209">
        <v>45886</v>
      </c>
      <c r="B209" t="s">
        <v>24</v>
      </c>
      <c r="C209" t="s">
        <v>25</v>
      </c>
      <c r="D209">
        <v>45886</v>
      </c>
      <c r="E209" t="s">
        <v>24</v>
      </c>
      <c r="F209" t="s">
        <v>25</v>
      </c>
    </row>
    <row r="210" spans="1:6" x14ac:dyDescent="0.3">
      <c r="B210" t="s">
        <v>34</v>
      </c>
      <c r="C210" t="s">
        <v>60</v>
      </c>
      <c r="D210" t="s">
        <v>414</v>
      </c>
      <c r="E210" t="s">
        <v>34</v>
      </c>
      <c r="F210" t="s">
        <v>60</v>
      </c>
    </row>
    <row r="211" spans="1:6" x14ac:dyDescent="0.3">
      <c r="A211">
        <v>45908</v>
      </c>
      <c r="B211" t="s">
        <v>24</v>
      </c>
      <c r="C211" t="s">
        <v>25</v>
      </c>
      <c r="D211">
        <v>45908</v>
      </c>
      <c r="E211" t="s">
        <v>24</v>
      </c>
      <c r="F211" t="s">
        <v>25</v>
      </c>
    </row>
    <row r="212" spans="1:6" x14ac:dyDescent="0.3">
      <c r="A212">
        <v>45875</v>
      </c>
      <c r="B212" t="s">
        <v>24</v>
      </c>
      <c r="C212" t="s">
        <v>25</v>
      </c>
      <c r="D212">
        <v>45875</v>
      </c>
      <c r="E212" t="s">
        <v>24</v>
      </c>
      <c r="F212" t="s">
        <v>25</v>
      </c>
    </row>
    <row r="213" spans="1:6" x14ac:dyDescent="0.3">
      <c r="A213">
        <v>45911</v>
      </c>
      <c r="B213" t="s">
        <v>24</v>
      </c>
      <c r="C213" t="s">
        <v>25</v>
      </c>
      <c r="D213">
        <v>45911</v>
      </c>
      <c r="E213" t="s">
        <v>24</v>
      </c>
      <c r="F213" t="s">
        <v>25</v>
      </c>
    </row>
    <row r="214" spans="1:6" x14ac:dyDescent="0.3">
      <c r="A214">
        <v>45891</v>
      </c>
      <c r="B214" t="s">
        <v>24</v>
      </c>
      <c r="C214" t="s">
        <v>25</v>
      </c>
      <c r="D214">
        <v>45891</v>
      </c>
      <c r="E214" t="s">
        <v>24</v>
      </c>
      <c r="F214" t="s">
        <v>25</v>
      </c>
    </row>
    <row r="215" spans="1:6" x14ac:dyDescent="0.3">
      <c r="A215">
        <v>45912</v>
      </c>
      <c r="B215" t="s">
        <v>24</v>
      </c>
      <c r="C215" t="s">
        <v>25</v>
      </c>
      <c r="D215">
        <v>45912</v>
      </c>
      <c r="E215" t="s">
        <v>24</v>
      </c>
      <c r="F215" t="s">
        <v>25</v>
      </c>
    </row>
    <row r="216" spans="1:6" x14ac:dyDescent="0.3">
      <c r="B216" t="s">
        <v>34</v>
      </c>
      <c r="C216" t="s">
        <v>67</v>
      </c>
      <c r="D216" t="s">
        <v>414</v>
      </c>
      <c r="E216" t="s">
        <v>34</v>
      </c>
      <c r="F216" t="s">
        <v>67</v>
      </c>
    </row>
    <row r="217" spans="1:6" x14ac:dyDescent="0.3">
      <c r="B217" t="s">
        <v>34</v>
      </c>
      <c r="C217" t="s">
        <v>67</v>
      </c>
      <c r="D217" t="s">
        <v>414</v>
      </c>
      <c r="E217" t="s">
        <v>34</v>
      </c>
      <c r="F217" t="s">
        <v>67</v>
      </c>
    </row>
    <row r="218" spans="1:6" x14ac:dyDescent="0.3">
      <c r="A218">
        <v>45927</v>
      </c>
      <c r="B218" t="s">
        <v>24</v>
      </c>
      <c r="C218" t="s">
        <v>25</v>
      </c>
      <c r="D218">
        <v>45927</v>
      </c>
      <c r="E218" t="s">
        <v>24</v>
      </c>
      <c r="F218" t="s">
        <v>25</v>
      </c>
    </row>
    <row r="219" spans="1:6" x14ac:dyDescent="0.3">
      <c r="A219">
        <v>45909</v>
      </c>
      <c r="B219" t="s">
        <v>24</v>
      </c>
      <c r="C219" t="s">
        <v>25</v>
      </c>
      <c r="D219">
        <v>45909</v>
      </c>
      <c r="E219" t="s">
        <v>24</v>
      </c>
      <c r="F219" t="s">
        <v>25</v>
      </c>
    </row>
    <row r="220" spans="1:6" x14ac:dyDescent="0.3">
      <c r="B220" t="s">
        <v>34</v>
      </c>
      <c r="C220" t="s">
        <v>60</v>
      </c>
      <c r="D220" t="s">
        <v>414</v>
      </c>
      <c r="E220" t="s">
        <v>34</v>
      </c>
      <c r="F220" t="s">
        <v>60</v>
      </c>
    </row>
    <row r="221" spans="1:6" x14ac:dyDescent="0.3">
      <c r="A221">
        <v>45923</v>
      </c>
      <c r="B221" t="s">
        <v>24</v>
      </c>
      <c r="C221" t="s">
        <v>25</v>
      </c>
      <c r="D221">
        <v>45923</v>
      </c>
      <c r="E221" t="s">
        <v>24</v>
      </c>
      <c r="F221" t="s">
        <v>25</v>
      </c>
    </row>
    <row r="222" spans="1:6" x14ac:dyDescent="0.3">
      <c r="A222">
        <v>45883</v>
      </c>
      <c r="B222" t="s">
        <v>24</v>
      </c>
      <c r="C222" t="s">
        <v>25</v>
      </c>
      <c r="D222">
        <v>45883</v>
      </c>
      <c r="E222" t="s">
        <v>24</v>
      </c>
      <c r="F222" t="s">
        <v>25</v>
      </c>
    </row>
    <row r="223" spans="1:6" x14ac:dyDescent="0.3">
      <c r="A223">
        <v>45895</v>
      </c>
      <c r="B223" t="s">
        <v>24</v>
      </c>
      <c r="C223" t="s">
        <v>25</v>
      </c>
      <c r="D223">
        <v>45895</v>
      </c>
      <c r="E223" t="s">
        <v>24</v>
      </c>
      <c r="F223" t="s">
        <v>25</v>
      </c>
    </row>
    <row r="224" spans="1:6" x14ac:dyDescent="0.3">
      <c r="B224" t="s">
        <v>34</v>
      </c>
      <c r="C224" t="s">
        <v>60</v>
      </c>
      <c r="D224" t="s">
        <v>414</v>
      </c>
      <c r="E224" t="s">
        <v>34</v>
      </c>
      <c r="F224" t="s">
        <v>60</v>
      </c>
    </row>
    <row r="225" spans="1:6" x14ac:dyDescent="0.3">
      <c r="A225">
        <v>45924</v>
      </c>
      <c r="B225" t="s">
        <v>24</v>
      </c>
      <c r="C225" t="s">
        <v>25</v>
      </c>
      <c r="D225">
        <v>45924</v>
      </c>
      <c r="E225" t="s">
        <v>24</v>
      </c>
      <c r="F225" t="s">
        <v>25</v>
      </c>
    </row>
    <row r="226" spans="1:6" x14ac:dyDescent="0.3">
      <c r="A226">
        <v>45896</v>
      </c>
      <c r="B226" t="s">
        <v>24</v>
      </c>
      <c r="C226" t="s">
        <v>25</v>
      </c>
      <c r="D226">
        <v>45896</v>
      </c>
      <c r="E226" t="s">
        <v>24</v>
      </c>
      <c r="F226" t="s">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4CA34-E3A5-4D35-AF3E-B89AEE14DF63}">
  <dimension ref="A1:T36"/>
  <sheetViews>
    <sheetView zoomScale="64" workbookViewId="0">
      <selection activeCell="J16" sqref="J16"/>
    </sheetView>
  </sheetViews>
  <sheetFormatPr defaultRowHeight="14.4" x14ac:dyDescent="0.3"/>
  <cols>
    <col min="1" max="1" width="15.6640625" style="24" customWidth="1"/>
    <col min="2" max="2" width="36.77734375" bestFit="1" customWidth="1"/>
    <col min="3" max="3" width="32.109375" bestFit="1" customWidth="1"/>
    <col min="4" max="4" width="26.5546875" customWidth="1"/>
    <col min="5" max="5" width="45.109375" bestFit="1" customWidth="1"/>
    <col min="6" max="6" width="12.21875" bestFit="1" customWidth="1"/>
    <col min="7" max="7" width="11.5546875" bestFit="1" customWidth="1"/>
    <col min="8" max="9" width="9" bestFit="1" customWidth="1"/>
    <col min="13" max="13" width="12.33203125" bestFit="1" customWidth="1"/>
    <col min="18" max="18" width="9" bestFit="1" customWidth="1"/>
    <col min="20" max="20" width="22" bestFit="1" customWidth="1"/>
  </cols>
  <sheetData>
    <row r="1" spans="1:20" x14ac:dyDescent="0.3">
      <c r="A1" s="25" t="s">
        <v>511</v>
      </c>
      <c r="B1" s="7" t="s">
        <v>510</v>
      </c>
      <c r="C1" s="7" t="s">
        <v>513</v>
      </c>
      <c r="D1" s="7" t="s">
        <v>0</v>
      </c>
      <c r="E1" s="7" t="s">
        <v>1</v>
      </c>
      <c r="F1" s="7" t="s">
        <v>2</v>
      </c>
      <c r="G1" s="7" t="s">
        <v>3</v>
      </c>
      <c r="H1" s="7" t="s">
        <v>4</v>
      </c>
      <c r="I1" s="7" t="s">
        <v>5</v>
      </c>
      <c r="J1" s="7" t="s">
        <v>6</v>
      </c>
      <c r="K1" s="7" t="s">
        <v>7</v>
      </c>
      <c r="L1" s="7" t="s">
        <v>8</v>
      </c>
      <c r="M1" s="7" t="s">
        <v>9</v>
      </c>
      <c r="N1" s="7" t="s">
        <v>10</v>
      </c>
      <c r="O1" s="7" t="s">
        <v>11</v>
      </c>
      <c r="P1" s="7" t="s">
        <v>12</v>
      </c>
      <c r="Q1" s="7" t="s">
        <v>13</v>
      </c>
      <c r="R1" s="7" t="s">
        <v>14</v>
      </c>
      <c r="S1" s="7" t="s">
        <v>15</v>
      </c>
      <c r="T1" s="7" t="s">
        <v>16</v>
      </c>
    </row>
    <row r="2" spans="1:20" ht="57.6" x14ac:dyDescent="0.3">
      <c r="A2" s="23">
        <v>1</v>
      </c>
      <c r="B2" s="23" t="s">
        <v>515</v>
      </c>
      <c r="C2" s="5" t="s">
        <v>512</v>
      </c>
      <c r="D2" s="5">
        <v>75979196799</v>
      </c>
      <c r="E2" s="11">
        <v>45886</v>
      </c>
      <c r="F2" s="11">
        <v>0.39043981481481482</v>
      </c>
      <c r="G2" s="5"/>
      <c r="H2" s="11"/>
      <c r="I2" s="11"/>
      <c r="J2" s="5" t="s">
        <v>18</v>
      </c>
      <c r="K2" s="5" t="s">
        <v>18</v>
      </c>
      <c r="L2" s="5" t="s">
        <v>49</v>
      </c>
      <c r="M2" s="5">
        <v>9799264931</v>
      </c>
      <c r="N2" s="5" t="s">
        <v>68</v>
      </c>
      <c r="O2" s="5" t="s">
        <v>69</v>
      </c>
      <c r="P2" s="5" t="s">
        <v>22</v>
      </c>
      <c r="Q2" s="5" t="s">
        <v>52</v>
      </c>
      <c r="R2" s="5">
        <v>7</v>
      </c>
      <c r="S2" s="5" t="s">
        <v>34</v>
      </c>
      <c r="T2" s="5" t="s">
        <v>60</v>
      </c>
    </row>
    <row r="3" spans="1:20" ht="43.2" x14ac:dyDescent="0.3">
      <c r="A3" s="23">
        <v>2</v>
      </c>
      <c r="B3" s="23" t="s">
        <v>514</v>
      </c>
      <c r="C3" s="5" t="s">
        <v>512</v>
      </c>
      <c r="D3" s="5">
        <v>75862705171</v>
      </c>
      <c r="E3" s="5">
        <v>45873</v>
      </c>
      <c r="F3" s="5">
        <v>0.49740740740740741</v>
      </c>
      <c r="G3" s="5" t="s">
        <v>78</v>
      </c>
      <c r="H3" s="5"/>
      <c r="I3" s="5"/>
      <c r="J3" s="5" t="s">
        <v>18</v>
      </c>
      <c r="K3" s="5" t="s">
        <v>18</v>
      </c>
      <c r="L3" s="5" t="s">
        <v>27</v>
      </c>
      <c r="M3" s="5">
        <v>8731963069</v>
      </c>
      <c r="N3" s="5" t="s">
        <v>225</v>
      </c>
      <c r="O3" s="5" t="s">
        <v>226</v>
      </c>
      <c r="P3" s="5" t="s">
        <v>22</v>
      </c>
      <c r="Q3" s="5" t="s">
        <v>94</v>
      </c>
      <c r="R3" s="5">
        <v>8</v>
      </c>
      <c r="S3" s="5" t="s">
        <v>24</v>
      </c>
      <c r="T3" s="5" t="s">
        <v>25</v>
      </c>
    </row>
    <row r="4" spans="1:20" ht="57.6" x14ac:dyDescent="0.3">
      <c r="A4" s="23">
        <v>3</v>
      </c>
      <c r="B4" s="23" t="s">
        <v>516</v>
      </c>
      <c r="C4" s="5" t="s">
        <v>512</v>
      </c>
      <c r="D4" s="5">
        <v>75533316990</v>
      </c>
      <c r="E4" s="5">
        <v>45910</v>
      </c>
      <c r="F4" s="5">
        <v>0.71480324074074075</v>
      </c>
      <c r="G4" s="5" t="s">
        <v>95</v>
      </c>
      <c r="H4" s="5">
        <v>45913</v>
      </c>
      <c r="I4" s="5">
        <v>0.64789351851851851</v>
      </c>
      <c r="J4" s="5" t="s">
        <v>18</v>
      </c>
      <c r="K4" s="5" t="s">
        <v>18</v>
      </c>
      <c r="L4" s="5" t="s">
        <v>27</v>
      </c>
      <c r="M4" s="5">
        <v>7695642802</v>
      </c>
      <c r="N4" s="5" t="s">
        <v>213</v>
      </c>
      <c r="O4" s="5" t="s">
        <v>214</v>
      </c>
      <c r="P4" s="5" t="s">
        <v>22</v>
      </c>
      <c r="Q4" s="5" t="s">
        <v>203</v>
      </c>
      <c r="R4" s="5">
        <v>6</v>
      </c>
      <c r="S4" s="5" t="s">
        <v>24</v>
      </c>
      <c r="T4" s="5" t="s">
        <v>35</v>
      </c>
    </row>
    <row r="5" spans="1:20" ht="57.6" x14ac:dyDescent="0.3">
      <c r="A5" s="23">
        <v>4</v>
      </c>
      <c r="B5" s="23" t="s">
        <v>517</v>
      </c>
      <c r="C5" s="5" t="s">
        <v>512</v>
      </c>
      <c r="D5" s="5">
        <v>75513669678</v>
      </c>
      <c r="E5" s="5">
        <v>45899</v>
      </c>
      <c r="F5" s="5">
        <v>0.5191782407407407</v>
      </c>
      <c r="G5" s="5" t="s">
        <v>55</v>
      </c>
      <c r="H5" s="5"/>
      <c r="I5" s="5"/>
      <c r="J5" s="5" t="s">
        <v>18</v>
      </c>
      <c r="K5" s="5" t="s">
        <v>18</v>
      </c>
      <c r="L5" s="5" t="s">
        <v>36</v>
      </c>
      <c r="M5" s="5">
        <v>9250402001</v>
      </c>
      <c r="N5" s="5" t="s">
        <v>164</v>
      </c>
      <c r="O5" s="5" t="s">
        <v>165</v>
      </c>
      <c r="P5" s="5" t="s">
        <v>22</v>
      </c>
      <c r="Q5" s="5" t="s">
        <v>23</v>
      </c>
      <c r="R5" s="5">
        <v>2</v>
      </c>
      <c r="S5" s="5" t="s">
        <v>24</v>
      </c>
      <c r="T5" s="5" t="s">
        <v>60</v>
      </c>
    </row>
    <row r="6" spans="1:20" ht="72" customHeight="1" x14ac:dyDescent="0.3">
      <c r="A6" s="44">
        <v>5</v>
      </c>
      <c r="B6" s="44" t="s">
        <v>518</v>
      </c>
      <c r="C6" s="5" t="s">
        <v>512</v>
      </c>
      <c r="D6" s="5">
        <v>75967243311</v>
      </c>
      <c r="E6" s="5">
        <v>45901</v>
      </c>
      <c r="F6" s="5">
        <v>0.39165509259259257</v>
      </c>
      <c r="G6" s="5" t="s">
        <v>78</v>
      </c>
      <c r="H6" s="5">
        <v>45905</v>
      </c>
      <c r="I6" s="5">
        <v>0.69488425925925923</v>
      </c>
      <c r="J6" s="5" t="s">
        <v>18</v>
      </c>
      <c r="K6" s="5" t="s">
        <v>18</v>
      </c>
      <c r="L6" s="5" t="s">
        <v>27</v>
      </c>
      <c r="M6" s="5">
        <v>7566862173</v>
      </c>
      <c r="N6" s="5" t="s">
        <v>331</v>
      </c>
      <c r="O6" s="5" t="s">
        <v>189</v>
      </c>
      <c r="P6" s="5" t="s">
        <v>22</v>
      </c>
      <c r="Q6" s="5" t="s">
        <v>86</v>
      </c>
      <c r="R6" s="5">
        <v>10</v>
      </c>
      <c r="S6" s="5" t="s">
        <v>24</v>
      </c>
      <c r="T6" s="5" t="s">
        <v>25</v>
      </c>
    </row>
    <row r="7" spans="1:20" x14ac:dyDescent="0.3">
      <c r="A7" s="45"/>
      <c r="B7" s="45"/>
      <c r="C7" s="5" t="s">
        <v>512</v>
      </c>
      <c r="D7" s="5">
        <v>75927986559</v>
      </c>
      <c r="E7" s="5">
        <v>45900</v>
      </c>
      <c r="F7" s="5">
        <v>0.43775462962962963</v>
      </c>
      <c r="G7" s="5" t="s">
        <v>55</v>
      </c>
      <c r="H7" s="5">
        <v>45908</v>
      </c>
      <c r="I7" s="5">
        <v>0.54973379629629626</v>
      </c>
      <c r="J7" s="5" t="s">
        <v>18</v>
      </c>
      <c r="K7" s="5" t="s">
        <v>18</v>
      </c>
      <c r="L7" s="5" t="s">
        <v>49</v>
      </c>
      <c r="M7" s="5">
        <v>8431548670</v>
      </c>
      <c r="N7" s="5" t="s">
        <v>103</v>
      </c>
      <c r="O7" s="5" t="s">
        <v>104</v>
      </c>
      <c r="P7" s="5" t="s">
        <v>29</v>
      </c>
      <c r="Q7" s="5" t="s">
        <v>72</v>
      </c>
      <c r="R7" s="5">
        <v>8</v>
      </c>
      <c r="S7" s="5" t="s">
        <v>24</v>
      </c>
      <c r="T7" s="5" t="s">
        <v>25</v>
      </c>
    </row>
    <row r="9" spans="1:20" ht="18" x14ac:dyDescent="0.35">
      <c r="A9" s="41" t="s">
        <v>479</v>
      </c>
      <c r="B9" s="41"/>
      <c r="C9" s="41"/>
      <c r="D9" s="41"/>
      <c r="E9" s="41"/>
    </row>
    <row r="10" spans="1:20" x14ac:dyDescent="0.3">
      <c r="A10" s="25" t="s">
        <v>416</v>
      </c>
      <c r="B10" s="17" t="s">
        <v>456</v>
      </c>
      <c r="C10" s="17" t="s">
        <v>457</v>
      </c>
      <c r="D10" s="17" t="s">
        <v>480</v>
      </c>
      <c r="E10" s="17" t="s">
        <v>491</v>
      </c>
    </row>
    <row r="11" spans="1:20" ht="28.8" x14ac:dyDescent="0.3">
      <c r="A11" s="23" t="s">
        <v>419</v>
      </c>
      <c r="B11" s="5" t="s">
        <v>458</v>
      </c>
      <c r="C11" s="23" t="s">
        <v>459</v>
      </c>
      <c r="D11" s="23" t="s">
        <v>481</v>
      </c>
      <c r="E11" s="23"/>
    </row>
    <row r="12" spans="1:20" ht="28.8" x14ac:dyDescent="0.3">
      <c r="A12" s="23" t="s">
        <v>422</v>
      </c>
      <c r="B12" s="5" t="s">
        <v>460</v>
      </c>
      <c r="C12" s="23" t="s">
        <v>477</v>
      </c>
      <c r="D12" s="23" t="s">
        <v>481</v>
      </c>
      <c r="E12" s="42" t="s">
        <v>484</v>
      </c>
    </row>
    <row r="13" spans="1:20" ht="28.8" x14ac:dyDescent="0.3">
      <c r="A13" s="23" t="s">
        <v>425</v>
      </c>
      <c r="B13" s="5" t="s">
        <v>461</v>
      </c>
      <c r="C13" s="23" t="s">
        <v>478</v>
      </c>
      <c r="D13" s="23" t="s">
        <v>481</v>
      </c>
      <c r="E13" s="42"/>
    </row>
    <row r="14" spans="1:20" ht="57.6" x14ac:dyDescent="0.3">
      <c r="A14" s="23" t="s">
        <v>428</v>
      </c>
      <c r="B14" s="5" t="s">
        <v>462</v>
      </c>
      <c r="C14" s="23" t="s">
        <v>463</v>
      </c>
      <c r="D14" s="23" t="s">
        <v>482</v>
      </c>
      <c r="E14" s="23" t="s">
        <v>483</v>
      </c>
    </row>
    <row r="15" spans="1:20" ht="28.8" x14ac:dyDescent="0.3">
      <c r="A15" s="23" t="s">
        <v>430</v>
      </c>
      <c r="B15" s="15" t="s">
        <v>460</v>
      </c>
      <c r="C15" s="23" t="s">
        <v>464</v>
      </c>
      <c r="D15" s="23" t="s">
        <v>481</v>
      </c>
      <c r="E15" s="42" t="s">
        <v>484</v>
      </c>
    </row>
    <row r="16" spans="1:20" ht="28.8" x14ac:dyDescent="0.3">
      <c r="A16" s="23" t="s">
        <v>432</v>
      </c>
      <c r="B16" s="5" t="s">
        <v>461</v>
      </c>
      <c r="C16" s="23" t="s">
        <v>465</v>
      </c>
      <c r="D16" s="23" t="s">
        <v>481</v>
      </c>
      <c r="E16" s="42"/>
    </row>
    <row r="17" spans="1:6" ht="28.8" x14ac:dyDescent="0.3">
      <c r="A17" s="23" t="s">
        <v>434</v>
      </c>
      <c r="B17" s="5" t="s">
        <v>462</v>
      </c>
      <c r="C17" s="23" t="s">
        <v>466</v>
      </c>
      <c r="D17" s="23" t="s">
        <v>485</v>
      </c>
      <c r="E17" s="23"/>
    </row>
    <row r="18" spans="1:6" ht="28.8" x14ac:dyDescent="0.3">
      <c r="A18" s="23" t="s">
        <v>436</v>
      </c>
      <c r="B18" s="5" t="s">
        <v>462</v>
      </c>
      <c r="C18" s="23" t="s">
        <v>467</v>
      </c>
      <c r="D18" s="23" t="s">
        <v>485</v>
      </c>
      <c r="E18" s="23"/>
    </row>
    <row r="19" spans="1:6" ht="28.8" x14ac:dyDescent="0.3">
      <c r="A19" s="23" t="s">
        <v>438</v>
      </c>
      <c r="B19" s="5" t="s">
        <v>462</v>
      </c>
      <c r="C19" s="23" t="s">
        <v>467</v>
      </c>
      <c r="D19" s="23" t="s">
        <v>485</v>
      </c>
      <c r="E19" s="23"/>
    </row>
    <row r="20" spans="1:6" ht="28.8" x14ac:dyDescent="0.3">
      <c r="A20" s="23" t="s">
        <v>9</v>
      </c>
      <c r="B20" s="5" t="s">
        <v>458</v>
      </c>
      <c r="C20" s="23" t="s">
        <v>468</v>
      </c>
      <c r="D20" s="23" t="s">
        <v>485</v>
      </c>
      <c r="E20" s="23"/>
    </row>
    <row r="21" spans="1:6" ht="28.8" x14ac:dyDescent="0.3">
      <c r="A21" s="23" t="s">
        <v>10</v>
      </c>
      <c r="B21" s="5" t="s">
        <v>462</v>
      </c>
      <c r="C21" s="23" t="s">
        <v>469</v>
      </c>
      <c r="D21" s="23" t="s">
        <v>485</v>
      </c>
      <c r="E21" s="23"/>
    </row>
    <row r="22" spans="1:6" ht="28.8" x14ac:dyDescent="0.3">
      <c r="A22" s="23" t="s">
        <v>442</v>
      </c>
      <c r="B22" s="5" t="s">
        <v>462</v>
      </c>
      <c r="C22" s="23" t="s">
        <v>470</v>
      </c>
      <c r="D22" s="23" t="s">
        <v>486</v>
      </c>
      <c r="E22" s="23"/>
    </row>
    <row r="23" spans="1:6" ht="28.8" x14ac:dyDescent="0.3">
      <c r="A23" s="23" t="s">
        <v>445</v>
      </c>
      <c r="B23" s="5" t="s">
        <v>462</v>
      </c>
      <c r="C23" s="23" t="s">
        <v>471</v>
      </c>
      <c r="D23" s="23" t="s">
        <v>486</v>
      </c>
      <c r="E23" s="23"/>
    </row>
    <row r="24" spans="1:6" ht="28.8" x14ac:dyDescent="0.3">
      <c r="A24" s="23" t="s">
        <v>448</v>
      </c>
      <c r="B24" s="5" t="s">
        <v>462</v>
      </c>
      <c r="C24" s="23" t="s">
        <v>472</v>
      </c>
      <c r="D24" s="23" t="s">
        <v>486</v>
      </c>
      <c r="E24" s="23"/>
    </row>
    <row r="25" spans="1:6" ht="28.8" x14ac:dyDescent="0.3">
      <c r="A25" s="23" t="s">
        <v>449</v>
      </c>
      <c r="B25" s="5" t="s">
        <v>473</v>
      </c>
      <c r="C25" s="23" t="s">
        <v>474</v>
      </c>
      <c r="D25" s="23" t="s">
        <v>487</v>
      </c>
      <c r="E25" s="23"/>
    </row>
    <row r="26" spans="1:6" ht="115.2" x14ac:dyDescent="0.3">
      <c r="A26" s="23" t="s">
        <v>15</v>
      </c>
      <c r="B26" s="5" t="s">
        <v>462</v>
      </c>
      <c r="C26" s="23" t="s">
        <v>475</v>
      </c>
      <c r="D26" s="23" t="s">
        <v>490</v>
      </c>
      <c r="E26" s="23" t="s">
        <v>488</v>
      </c>
    </row>
    <row r="27" spans="1:6" ht="100.8" x14ac:dyDescent="0.3">
      <c r="A27" s="23" t="s">
        <v>453</v>
      </c>
      <c r="B27" s="5" t="s">
        <v>462</v>
      </c>
      <c r="C27" s="23" t="s">
        <v>476</v>
      </c>
      <c r="D27" s="23" t="s">
        <v>490</v>
      </c>
      <c r="E27" s="23" t="s">
        <v>489</v>
      </c>
    </row>
    <row r="30" spans="1:6" x14ac:dyDescent="0.3">
      <c r="A30" s="43" t="s">
        <v>404</v>
      </c>
      <c r="B30" s="43"/>
      <c r="C30" s="43"/>
      <c r="D30" s="43" t="s">
        <v>405</v>
      </c>
      <c r="E30" s="43"/>
      <c r="F30" s="43"/>
    </row>
    <row r="31" spans="1:6" x14ac:dyDescent="0.3">
      <c r="A31" s="23" t="s">
        <v>395</v>
      </c>
      <c r="B31" s="5" t="s">
        <v>396</v>
      </c>
      <c r="C31" s="5" t="s">
        <v>397</v>
      </c>
      <c r="D31" s="5" t="s">
        <v>395</v>
      </c>
      <c r="E31" s="5" t="s">
        <v>396</v>
      </c>
      <c r="F31" s="5" t="s">
        <v>397</v>
      </c>
    </row>
    <row r="32" spans="1:6" x14ac:dyDescent="0.3">
      <c r="A32" s="23" t="s">
        <v>398</v>
      </c>
      <c r="B32" s="5" t="s">
        <v>406</v>
      </c>
      <c r="C32" s="5" t="s">
        <v>402</v>
      </c>
      <c r="D32" s="5" t="s">
        <v>398</v>
      </c>
      <c r="E32" s="5" t="s">
        <v>401</v>
      </c>
      <c r="F32" s="5" t="s">
        <v>399</v>
      </c>
    </row>
    <row r="33" spans="1:6" x14ac:dyDescent="0.3">
      <c r="A33" s="23" t="s">
        <v>400</v>
      </c>
      <c r="B33" s="5" t="s">
        <v>401</v>
      </c>
      <c r="C33" s="5" t="s">
        <v>402</v>
      </c>
      <c r="D33" s="5" t="s">
        <v>403</v>
      </c>
      <c r="E33" s="5" t="s">
        <v>401</v>
      </c>
      <c r="F33" s="5" t="s">
        <v>399</v>
      </c>
    </row>
    <row r="34" spans="1:6" x14ac:dyDescent="0.3">
      <c r="A34" s="23" t="s">
        <v>400</v>
      </c>
      <c r="B34" s="5" t="s">
        <v>407</v>
      </c>
      <c r="C34" s="5" t="s">
        <v>402</v>
      </c>
      <c r="D34" s="5" t="s">
        <v>408</v>
      </c>
      <c r="E34" s="5" t="s">
        <v>407</v>
      </c>
      <c r="F34" s="5" t="s">
        <v>402</v>
      </c>
    </row>
    <row r="35" spans="1:6" x14ac:dyDescent="0.3">
      <c r="A35" s="23" t="s">
        <v>409</v>
      </c>
      <c r="B35" s="5" t="s">
        <v>410</v>
      </c>
      <c r="C35" s="5" t="s">
        <v>402</v>
      </c>
      <c r="D35" s="5" t="s">
        <v>410</v>
      </c>
      <c r="E35" s="5" t="s">
        <v>407</v>
      </c>
      <c r="F35" s="5" t="s">
        <v>402</v>
      </c>
    </row>
    <row r="36" spans="1:6" x14ac:dyDescent="0.3">
      <c r="A36" s="23" t="s">
        <v>409</v>
      </c>
      <c r="B36" s="5" t="s">
        <v>410</v>
      </c>
      <c r="C36" s="5" t="s">
        <v>408</v>
      </c>
      <c r="D36" s="5" t="s">
        <v>410</v>
      </c>
      <c r="E36" s="5" t="s">
        <v>407</v>
      </c>
      <c r="F36" s="5"/>
    </row>
  </sheetData>
  <mergeCells count="7">
    <mergeCell ref="B6:B7"/>
    <mergeCell ref="A6:A7"/>
    <mergeCell ref="A9:E9"/>
    <mergeCell ref="E12:E13"/>
    <mergeCell ref="E15:E16"/>
    <mergeCell ref="A30:C30"/>
    <mergeCell ref="D30:F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4061-AACD-43F0-A432-92A99B40C466}">
  <dimension ref="A1:O63"/>
  <sheetViews>
    <sheetView zoomScale="56" workbookViewId="0">
      <selection activeCell="F7" sqref="F7"/>
    </sheetView>
  </sheetViews>
  <sheetFormatPr defaultRowHeight="14.4" x14ac:dyDescent="0.3"/>
  <cols>
    <col min="1" max="1" width="42.77734375" bestFit="1" customWidth="1"/>
    <col min="2" max="2" width="26.88671875" bestFit="1" customWidth="1"/>
    <col min="3" max="3" width="25.6640625" bestFit="1" customWidth="1"/>
    <col min="4" max="4" width="25.88671875" bestFit="1" customWidth="1"/>
    <col min="6" max="6" width="52.21875" customWidth="1"/>
    <col min="7" max="7" width="35.77734375" bestFit="1" customWidth="1"/>
    <col min="10" max="10" width="24" bestFit="1" customWidth="1"/>
    <col min="15" max="15" width="13.109375" bestFit="1" customWidth="1"/>
  </cols>
  <sheetData>
    <row r="1" spans="1:7" ht="21" x14ac:dyDescent="0.4">
      <c r="A1" s="50" t="s">
        <v>519</v>
      </c>
      <c r="B1" s="50"/>
      <c r="C1" s="50"/>
      <c r="D1" s="50"/>
    </row>
    <row r="2" spans="1:7" ht="18" x14ac:dyDescent="0.35">
      <c r="A2" s="49" t="s">
        <v>496</v>
      </c>
      <c r="B2" s="49"/>
      <c r="C2" s="49"/>
      <c r="D2" s="49"/>
    </row>
    <row r="3" spans="1:7" x14ac:dyDescent="0.3">
      <c r="A3" s="7" t="s">
        <v>497</v>
      </c>
      <c r="B3" s="7" t="s">
        <v>498</v>
      </c>
      <c r="C3" s="7" t="s">
        <v>499</v>
      </c>
      <c r="D3" s="7" t="s">
        <v>392</v>
      </c>
      <c r="F3" s="7" t="s">
        <v>520</v>
      </c>
      <c r="G3" s="26"/>
    </row>
    <row r="4" spans="1:7" ht="27.6" x14ac:dyDescent="0.3">
      <c r="A4" s="5" t="s">
        <v>52</v>
      </c>
      <c r="B4" s="5">
        <v>14</v>
      </c>
      <c r="C4" s="5">
        <v>7</v>
      </c>
      <c r="D4" s="5">
        <v>21</v>
      </c>
      <c r="F4" s="39" t="s">
        <v>644</v>
      </c>
    </row>
    <row r="5" spans="1:7" ht="27.6" x14ac:dyDescent="0.3">
      <c r="A5" s="5" t="s">
        <v>86</v>
      </c>
      <c r="B5" s="5">
        <v>14</v>
      </c>
      <c r="C5" s="5">
        <v>5</v>
      </c>
      <c r="D5" s="5">
        <v>19</v>
      </c>
      <c r="F5" s="39" t="s">
        <v>645</v>
      </c>
      <c r="G5" s="26"/>
    </row>
    <row r="6" spans="1:7" ht="41.4" x14ac:dyDescent="0.3">
      <c r="A6" s="5" t="s">
        <v>23</v>
      </c>
      <c r="B6" s="5">
        <v>9</v>
      </c>
      <c r="C6" s="5">
        <v>9</v>
      </c>
      <c r="D6" s="5">
        <v>18</v>
      </c>
      <c r="F6" s="39" t="s">
        <v>646</v>
      </c>
    </row>
    <row r="7" spans="1:7" ht="27.6" x14ac:dyDescent="0.3">
      <c r="A7" s="5" t="s">
        <v>39</v>
      </c>
      <c r="B7" s="5">
        <v>13</v>
      </c>
      <c r="C7" s="5">
        <v>5</v>
      </c>
      <c r="D7" s="5">
        <v>18</v>
      </c>
      <c r="F7" s="39" t="s">
        <v>647</v>
      </c>
      <c r="G7" s="26"/>
    </row>
    <row r="8" spans="1:7" ht="27.6" x14ac:dyDescent="0.3">
      <c r="A8" s="5" t="s">
        <v>42</v>
      </c>
      <c r="B8" s="5">
        <v>16</v>
      </c>
      <c r="C8" s="5">
        <v>2</v>
      </c>
      <c r="D8" s="5">
        <v>18</v>
      </c>
      <c r="F8" s="39" t="s">
        <v>648</v>
      </c>
    </row>
    <row r="9" spans="1:7" x14ac:dyDescent="0.3">
      <c r="A9" s="5" t="s">
        <v>94</v>
      </c>
      <c r="B9" s="5">
        <v>14</v>
      </c>
      <c r="C9" s="5">
        <v>3</v>
      </c>
      <c r="D9" s="5">
        <v>17</v>
      </c>
      <c r="G9" s="26"/>
    </row>
    <row r="10" spans="1:7" x14ac:dyDescent="0.3">
      <c r="A10" s="5" t="s">
        <v>76</v>
      </c>
      <c r="B10" s="5">
        <v>11</v>
      </c>
      <c r="C10" s="5">
        <v>5</v>
      </c>
      <c r="D10" s="5">
        <v>16</v>
      </c>
    </row>
    <row r="11" spans="1:7" x14ac:dyDescent="0.3">
      <c r="A11" s="5" t="s">
        <v>63</v>
      </c>
      <c r="B11" s="5">
        <v>12</v>
      </c>
      <c r="C11" s="5">
        <v>4</v>
      </c>
      <c r="D11" s="5">
        <v>16</v>
      </c>
      <c r="G11" s="26"/>
    </row>
    <row r="12" spans="1:7" x14ac:dyDescent="0.3">
      <c r="A12" s="5" t="s">
        <v>102</v>
      </c>
      <c r="B12" s="5">
        <v>11</v>
      </c>
      <c r="C12" s="5">
        <v>5</v>
      </c>
      <c r="D12" s="5">
        <v>16</v>
      </c>
    </row>
    <row r="13" spans="1:7" x14ac:dyDescent="0.3">
      <c r="A13" s="5" t="s">
        <v>72</v>
      </c>
      <c r="B13" s="5">
        <v>9</v>
      </c>
      <c r="C13" s="5">
        <v>5</v>
      </c>
      <c r="D13" s="5">
        <v>14</v>
      </c>
    </row>
    <row r="14" spans="1:7" x14ac:dyDescent="0.3">
      <c r="A14" s="5" t="s">
        <v>116</v>
      </c>
      <c r="B14" s="5">
        <v>12</v>
      </c>
      <c r="C14" s="5">
        <v>2</v>
      </c>
      <c r="D14" s="5">
        <v>14</v>
      </c>
    </row>
    <row r="15" spans="1:7" x14ac:dyDescent="0.3">
      <c r="A15" s="5" t="s">
        <v>203</v>
      </c>
      <c r="B15" s="5">
        <v>12</v>
      </c>
      <c r="C15" s="5">
        <v>2</v>
      </c>
      <c r="D15" s="5">
        <v>14</v>
      </c>
    </row>
    <row r="16" spans="1:7" x14ac:dyDescent="0.3">
      <c r="A16" s="5" t="s">
        <v>66</v>
      </c>
      <c r="B16" s="5">
        <v>9</v>
      </c>
      <c r="C16" s="5">
        <v>5</v>
      </c>
      <c r="D16" s="5">
        <v>14</v>
      </c>
    </row>
    <row r="17" spans="1:15" x14ac:dyDescent="0.3">
      <c r="A17" s="5" t="s">
        <v>142</v>
      </c>
      <c r="B17" s="5">
        <v>10</v>
      </c>
      <c r="C17" s="5"/>
      <c r="D17" s="5">
        <v>10</v>
      </c>
    </row>
    <row r="18" spans="1:15" x14ac:dyDescent="0.3">
      <c r="A18" s="5" t="s">
        <v>495</v>
      </c>
      <c r="B18" s="5">
        <f>SUM(B4:B17)</f>
        <v>166</v>
      </c>
      <c r="C18" s="5">
        <f t="shared" ref="C18:D18" si="0">SUM(C4:C17)</f>
        <v>59</v>
      </c>
      <c r="D18" s="5">
        <f t="shared" si="0"/>
        <v>225</v>
      </c>
    </row>
    <row r="21" spans="1:15" ht="18" x14ac:dyDescent="0.35">
      <c r="A21" s="54" t="s">
        <v>521</v>
      </c>
      <c r="B21" s="54"/>
      <c r="C21" s="54"/>
      <c r="D21" s="54"/>
      <c r="E21" s="54"/>
      <c r="F21" s="54"/>
      <c r="J21" s="54" t="s">
        <v>521</v>
      </c>
      <c r="K21" s="54"/>
      <c r="L21" s="54"/>
      <c r="M21" s="54"/>
      <c r="N21" s="54"/>
      <c r="O21" s="54"/>
    </row>
    <row r="22" spans="1:15" ht="18" x14ac:dyDescent="0.35">
      <c r="A22" s="51" t="s">
        <v>501</v>
      </c>
      <c r="B22" s="51"/>
      <c r="C22" s="51"/>
      <c r="D22" s="51"/>
      <c r="E22" s="51"/>
      <c r="F22" s="51"/>
      <c r="J22" s="51" t="s">
        <v>501</v>
      </c>
      <c r="K22" s="51"/>
      <c r="L22" s="51"/>
      <c r="M22" s="51"/>
      <c r="N22" s="51"/>
      <c r="O22" s="51"/>
    </row>
    <row r="23" spans="1:15" x14ac:dyDescent="0.3">
      <c r="A23" s="7"/>
      <c r="B23" s="52" t="s">
        <v>500</v>
      </c>
      <c r="C23" s="52"/>
      <c r="D23" s="52"/>
      <c r="E23" s="52"/>
      <c r="F23" s="53"/>
      <c r="I23" s="28"/>
      <c r="J23" s="30"/>
      <c r="K23" s="52" t="s">
        <v>500</v>
      </c>
      <c r="L23" s="52"/>
      <c r="M23" s="52"/>
      <c r="N23" s="52"/>
      <c r="O23" s="52"/>
    </row>
    <row r="24" spans="1:15" x14ac:dyDescent="0.3">
      <c r="A24" s="7" t="s">
        <v>497</v>
      </c>
      <c r="B24" s="7" t="s">
        <v>22</v>
      </c>
      <c r="C24" s="7" t="s">
        <v>82</v>
      </c>
      <c r="D24" s="7" t="s">
        <v>33</v>
      </c>
      <c r="E24" s="7" t="s">
        <v>29</v>
      </c>
      <c r="F24" s="7" t="s">
        <v>392</v>
      </c>
      <c r="G24" s="7" t="s">
        <v>523</v>
      </c>
      <c r="I24" s="28"/>
      <c r="J24" s="30" t="s">
        <v>531</v>
      </c>
      <c r="K24" s="30" t="s">
        <v>22</v>
      </c>
      <c r="L24" s="30" t="s">
        <v>82</v>
      </c>
      <c r="M24" s="5" t="s">
        <v>33</v>
      </c>
      <c r="N24" s="5" t="s">
        <v>29</v>
      </c>
      <c r="O24" s="5" t="s">
        <v>523</v>
      </c>
    </row>
    <row r="25" spans="1:15" x14ac:dyDescent="0.3">
      <c r="A25" s="5" t="s">
        <v>52</v>
      </c>
      <c r="B25" s="18">
        <v>0.2857142857142857</v>
      </c>
      <c r="C25" s="18">
        <v>0.23809523809523808</v>
      </c>
      <c r="D25" s="18">
        <v>0.19047619047619047</v>
      </c>
      <c r="E25" s="18">
        <v>0.2857142857142857</v>
      </c>
      <c r="F25" s="18">
        <v>1</v>
      </c>
      <c r="G25" s="5" t="s">
        <v>524</v>
      </c>
      <c r="I25" s="28"/>
      <c r="J25" s="30" t="s">
        <v>36</v>
      </c>
      <c r="K25" s="30">
        <v>0.29730000000000001</v>
      </c>
      <c r="L25" s="30">
        <v>0.2432</v>
      </c>
      <c r="M25" s="31">
        <v>0.18920000000000001</v>
      </c>
      <c r="N25" s="31">
        <v>0.27029999999999998</v>
      </c>
      <c r="O25" s="5" t="s">
        <v>524</v>
      </c>
    </row>
    <row r="26" spans="1:15" x14ac:dyDescent="0.3">
      <c r="A26" s="5" t="s">
        <v>86</v>
      </c>
      <c r="B26" s="18">
        <v>0.31578947368421051</v>
      </c>
      <c r="C26" s="18">
        <v>0.42105263157894735</v>
      </c>
      <c r="D26" s="18">
        <v>0.10526315789473684</v>
      </c>
      <c r="E26" s="18">
        <v>0.15789473684210525</v>
      </c>
      <c r="F26" s="18">
        <v>1</v>
      </c>
      <c r="G26" s="5" t="s">
        <v>525</v>
      </c>
      <c r="I26" s="29"/>
      <c r="J26" s="30" t="s">
        <v>49</v>
      </c>
      <c r="K26" s="30">
        <v>0.26919999999999999</v>
      </c>
      <c r="L26" s="30">
        <v>0.21790000000000001</v>
      </c>
      <c r="M26" s="31">
        <v>0.21790000000000001</v>
      </c>
      <c r="N26" s="31">
        <v>0.2949</v>
      </c>
      <c r="O26" s="5" t="s">
        <v>524</v>
      </c>
    </row>
    <row r="27" spans="1:15" x14ac:dyDescent="0.3">
      <c r="A27" s="5" t="s">
        <v>23</v>
      </c>
      <c r="B27" s="18">
        <v>0.33333333333333331</v>
      </c>
      <c r="C27" s="18">
        <v>5.5555555555555552E-2</v>
      </c>
      <c r="D27" s="18">
        <v>0.22222222222222221</v>
      </c>
      <c r="E27" s="18">
        <v>0.3888888888888889</v>
      </c>
      <c r="F27" s="18">
        <v>1</v>
      </c>
      <c r="G27" s="5" t="s">
        <v>526</v>
      </c>
      <c r="I27" s="28"/>
      <c r="J27" s="30" t="s">
        <v>27</v>
      </c>
      <c r="K27" s="30">
        <v>0.27500000000000002</v>
      </c>
      <c r="L27" s="30">
        <v>0.2</v>
      </c>
      <c r="M27" s="31">
        <v>0.25</v>
      </c>
      <c r="N27" s="31">
        <v>0.27500000000000002</v>
      </c>
      <c r="O27" s="5" t="s">
        <v>524</v>
      </c>
    </row>
    <row r="28" spans="1:15" x14ac:dyDescent="0.3">
      <c r="A28" s="5" t="s">
        <v>42</v>
      </c>
      <c r="B28" s="18">
        <v>0.22222222222222221</v>
      </c>
      <c r="C28" s="18">
        <v>0.27777777777777779</v>
      </c>
      <c r="D28" s="18">
        <v>0.16666666666666666</v>
      </c>
      <c r="E28" s="18">
        <v>0.33333333333333331</v>
      </c>
      <c r="F28" s="18">
        <v>1</v>
      </c>
      <c r="G28" s="5" t="s">
        <v>524</v>
      </c>
      <c r="I28" s="28"/>
      <c r="J28" s="30" t="s">
        <v>19</v>
      </c>
      <c r="K28" s="30">
        <v>0.3</v>
      </c>
      <c r="L28" s="30">
        <v>0.16669999999999999</v>
      </c>
      <c r="M28" s="31">
        <v>0.26669999999999999</v>
      </c>
      <c r="N28" s="31">
        <v>0.26669999999999999</v>
      </c>
      <c r="O28" s="5" t="s">
        <v>524</v>
      </c>
    </row>
    <row r="29" spans="1:15" x14ac:dyDescent="0.3">
      <c r="A29" s="5" t="s">
        <v>39</v>
      </c>
      <c r="B29" s="18">
        <v>0.27777777777777779</v>
      </c>
      <c r="C29" s="18">
        <v>0.27777777777777779</v>
      </c>
      <c r="D29" s="18">
        <v>0.22222222222222221</v>
      </c>
      <c r="E29" s="18">
        <v>0.22222222222222221</v>
      </c>
      <c r="F29" s="18">
        <v>1</v>
      </c>
      <c r="G29" s="5" t="s">
        <v>524</v>
      </c>
      <c r="I29" s="28"/>
      <c r="J29" s="28"/>
      <c r="K29" s="28"/>
      <c r="L29" s="28"/>
    </row>
    <row r="30" spans="1:15" x14ac:dyDescent="0.3">
      <c r="A30" s="5" t="s">
        <v>94</v>
      </c>
      <c r="B30" s="18">
        <v>0.17647058823529413</v>
      </c>
      <c r="C30" s="18">
        <v>0.11764705882352941</v>
      </c>
      <c r="D30" s="18">
        <v>0.41176470588235292</v>
      </c>
      <c r="E30" s="18">
        <v>0.29411764705882354</v>
      </c>
      <c r="F30" s="18">
        <v>1</v>
      </c>
      <c r="G30" s="5" t="s">
        <v>527</v>
      </c>
      <c r="I30" s="28"/>
      <c r="J30" s="28"/>
      <c r="K30" s="28"/>
      <c r="L30" s="28"/>
    </row>
    <row r="31" spans="1:15" x14ac:dyDescent="0.3">
      <c r="A31" s="5" t="s">
        <v>102</v>
      </c>
      <c r="B31" s="18">
        <v>0.25</v>
      </c>
      <c r="C31" s="18">
        <v>6.25E-2</v>
      </c>
      <c r="D31" s="18">
        <v>0.375</v>
      </c>
      <c r="E31" s="18">
        <v>0.3125</v>
      </c>
      <c r="F31" s="18">
        <v>1</v>
      </c>
      <c r="G31" s="5" t="s">
        <v>527</v>
      </c>
      <c r="I31" s="28"/>
      <c r="J31" s="28"/>
      <c r="K31" s="28"/>
      <c r="L31" s="28"/>
    </row>
    <row r="32" spans="1:15" x14ac:dyDescent="0.3">
      <c r="A32" s="5" t="s">
        <v>63</v>
      </c>
      <c r="B32" s="18">
        <v>0.4375</v>
      </c>
      <c r="C32" s="18">
        <v>0.25</v>
      </c>
      <c r="D32" s="18">
        <v>0.125</v>
      </c>
      <c r="E32" s="18">
        <v>0.1875</v>
      </c>
      <c r="F32" s="18">
        <v>1</v>
      </c>
      <c r="G32" s="5" t="s">
        <v>528</v>
      </c>
      <c r="I32" s="28"/>
      <c r="J32" s="28"/>
      <c r="K32" s="28"/>
      <c r="L32" s="28"/>
    </row>
    <row r="33" spans="1:12" x14ac:dyDescent="0.3">
      <c r="A33" s="5" t="s">
        <v>76</v>
      </c>
      <c r="B33" s="18">
        <v>0.25</v>
      </c>
      <c r="C33" s="18">
        <v>0.125</v>
      </c>
      <c r="D33" s="18">
        <v>0.25</v>
      </c>
      <c r="E33" s="18">
        <v>0.375</v>
      </c>
      <c r="F33" s="18">
        <v>1</v>
      </c>
      <c r="G33" s="5" t="s">
        <v>529</v>
      </c>
      <c r="I33" s="28"/>
      <c r="J33" s="28"/>
      <c r="K33" s="28"/>
      <c r="L33" s="28"/>
    </row>
    <row r="34" spans="1:12" x14ac:dyDescent="0.3">
      <c r="A34" s="5" t="s">
        <v>66</v>
      </c>
      <c r="B34" s="18">
        <v>0.21428571428571427</v>
      </c>
      <c r="C34" s="18">
        <v>0.2857142857142857</v>
      </c>
      <c r="D34" s="18">
        <v>0.21428571428571427</v>
      </c>
      <c r="E34" s="18">
        <v>0.2857142857142857</v>
      </c>
      <c r="F34" s="18">
        <v>1</v>
      </c>
      <c r="G34" s="5" t="s">
        <v>524</v>
      </c>
      <c r="I34" s="28"/>
      <c r="J34" s="28"/>
      <c r="K34" s="28"/>
      <c r="L34" s="28"/>
    </row>
    <row r="35" spans="1:12" x14ac:dyDescent="0.3">
      <c r="A35" s="5" t="s">
        <v>72</v>
      </c>
      <c r="B35" s="18">
        <v>0.21428571428571427</v>
      </c>
      <c r="C35" s="18">
        <v>0.21428571428571427</v>
      </c>
      <c r="D35" s="18">
        <v>0.21428571428571427</v>
      </c>
      <c r="E35" s="18">
        <v>0.35714285714285715</v>
      </c>
      <c r="F35" s="18">
        <v>1</v>
      </c>
      <c r="G35" s="5" t="s">
        <v>524</v>
      </c>
      <c r="I35" s="28"/>
      <c r="J35" s="28"/>
      <c r="K35" s="28"/>
      <c r="L35" s="28"/>
    </row>
    <row r="36" spans="1:12" x14ac:dyDescent="0.3">
      <c r="A36" s="5" t="s">
        <v>203</v>
      </c>
      <c r="B36" s="18">
        <v>0.42857142857142855</v>
      </c>
      <c r="C36" s="18">
        <v>7.1428571428571425E-2</v>
      </c>
      <c r="D36" s="18">
        <v>0.2857142857142857</v>
      </c>
      <c r="E36" s="18">
        <v>0.21428571428571427</v>
      </c>
      <c r="F36" s="18">
        <v>1</v>
      </c>
      <c r="G36" s="5" t="s">
        <v>528</v>
      </c>
      <c r="I36" s="28"/>
      <c r="J36" s="28"/>
      <c r="K36" s="28"/>
      <c r="L36" s="28"/>
    </row>
    <row r="37" spans="1:12" x14ac:dyDescent="0.3">
      <c r="A37" s="5" t="s">
        <v>116</v>
      </c>
      <c r="B37" s="18">
        <v>0.21428571428571427</v>
      </c>
      <c r="C37" s="18">
        <v>0.21428571428571427</v>
      </c>
      <c r="D37" s="18">
        <v>0.35714285714285715</v>
      </c>
      <c r="E37" s="18">
        <v>0.21428571428571427</v>
      </c>
      <c r="F37" s="18">
        <v>1</v>
      </c>
      <c r="G37" s="5" t="s">
        <v>530</v>
      </c>
    </row>
    <row r="38" spans="1:12" x14ac:dyDescent="0.3">
      <c r="A38" s="5" t="s">
        <v>142</v>
      </c>
      <c r="B38" s="18">
        <v>0.3</v>
      </c>
      <c r="C38" s="18">
        <v>0.3</v>
      </c>
      <c r="D38" s="18">
        <v>0.1</v>
      </c>
      <c r="E38" s="18">
        <v>0.3</v>
      </c>
      <c r="F38" s="18">
        <v>1</v>
      </c>
      <c r="G38" s="5" t="s">
        <v>524</v>
      </c>
    </row>
    <row r="39" spans="1:12" x14ac:dyDescent="0.3">
      <c r="A39" s="5" t="s">
        <v>392</v>
      </c>
      <c r="B39" s="18">
        <v>0.28000000000000003</v>
      </c>
      <c r="C39" s="18">
        <v>0.2088888888888889</v>
      </c>
      <c r="D39" s="18">
        <v>0.2311111111111111</v>
      </c>
      <c r="E39" s="18">
        <v>0.28000000000000003</v>
      </c>
      <c r="F39" s="18">
        <v>1</v>
      </c>
      <c r="G39" s="5"/>
    </row>
    <row r="43" spans="1:12" ht="18" x14ac:dyDescent="0.35">
      <c r="A43" s="46" t="s">
        <v>534</v>
      </c>
      <c r="B43" s="46"/>
      <c r="C43" s="46"/>
      <c r="D43" s="46"/>
    </row>
    <row r="44" spans="1:12" x14ac:dyDescent="0.3">
      <c r="A44" s="7" t="s">
        <v>532</v>
      </c>
      <c r="B44" s="7" t="s">
        <v>502</v>
      </c>
      <c r="C44" s="7" t="s">
        <v>503</v>
      </c>
      <c r="D44" s="7" t="s">
        <v>533</v>
      </c>
    </row>
    <row r="45" spans="1:12" x14ac:dyDescent="0.3">
      <c r="A45" s="5" t="s">
        <v>19</v>
      </c>
      <c r="B45" s="11">
        <v>148.0260818713455</v>
      </c>
      <c r="C45" s="11">
        <v>6.1663157894736829</v>
      </c>
      <c r="D45" s="5">
        <v>20</v>
      </c>
      <c r="F45" s="33"/>
    </row>
    <row r="46" spans="1:12" x14ac:dyDescent="0.3">
      <c r="A46" s="5" t="s">
        <v>27</v>
      </c>
      <c r="B46" s="11">
        <v>155.20839814814389</v>
      </c>
      <c r="C46" s="11">
        <v>6.4669999999999987</v>
      </c>
      <c r="D46" s="5">
        <v>62</v>
      </c>
    </row>
    <row r="47" spans="1:12" x14ac:dyDescent="0.3">
      <c r="A47" s="5" t="s">
        <v>49</v>
      </c>
      <c r="B47" s="11">
        <v>165.57894654087019</v>
      </c>
      <c r="C47" s="11">
        <v>6.8988679245283056</v>
      </c>
      <c r="D47" s="5">
        <v>57</v>
      </c>
    </row>
    <row r="48" spans="1:12" x14ac:dyDescent="0.3">
      <c r="A48" s="5" t="s">
        <v>36</v>
      </c>
      <c r="B48" s="11">
        <v>179.82965811967958</v>
      </c>
      <c r="C48" s="11">
        <v>7.4930769230769219</v>
      </c>
      <c r="D48" s="5">
        <v>27</v>
      </c>
    </row>
    <row r="49" spans="1:4" x14ac:dyDescent="0.3">
      <c r="B49" s="12"/>
      <c r="C49" s="12"/>
    </row>
    <row r="55" spans="1:4" ht="18" x14ac:dyDescent="0.35">
      <c r="A55" s="47" t="s">
        <v>535</v>
      </c>
      <c r="B55" s="47"/>
      <c r="C55" s="47"/>
      <c r="D55" s="47"/>
    </row>
    <row r="56" spans="1:4" ht="14.4" customHeight="1" x14ac:dyDescent="0.3">
      <c r="A56" s="48" t="s">
        <v>536</v>
      </c>
      <c r="B56" s="48"/>
      <c r="C56" s="48"/>
      <c r="D56" s="48"/>
    </row>
    <row r="57" spans="1:4" ht="27" customHeight="1" x14ac:dyDescent="0.3">
      <c r="A57" s="48"/>
      <c r="B57" s="48"/>
      <c r="C57" s="48"/>
      <c r="D57" s="48"/>
    </row>
    <row r="59" spans="1:4" x14ac:dyDescent="0.3">
      <c r="B59" s="27"/>
    </row>
    <row r="63" spans="1:4" x14ac:dyDescent="0.3">
      <c r="D63" t="s">
        <v>537</v>
      </c>
    </row>
  </sheetData>
  <sortState xmlns:xlrd2="http://schemas.microsoft.com/office/spreadsheetml/2017/richdata2" ref="A45:D48">
    <sortCondition ref="B45:B48"/>
  </sortState>
  <mergeCells count="11">
    <mergeCell ref="K23:O23"/>
    <mergeCell ref="J22:O22"/>
    <mergeCell ref="J21:O21"/>
    <mergeCell ref="A43:D43"/>
    <mergeCell ref="A55:D55"/>
    <mergeCell ref="A56:D57"/>
    <mergeCell ref="A2:D2"/>
    <mergeCell ref="A1:D1"/>
    <mergeCell ref="A22:F22"/>
    <mergeCell ref="B23:F23"/>
    <mergeCell ref="A21:F21"/>
  </mergeCells>
  <conditionalFormatting sqref="A44:D48">
    <cfRule type="colorScale" priority="7">
      <colorScale>
        <cfvo type="min"/>
        <cfvo type="percentile" val="50"/>
        <cfvo type="max"/>
        <color rgb="FFF8696B"/>
        <color rgb="FFFCFCFF"/>
        <color rgb="FF5A8AC6"/>
      </colorScale>
    </cfRule>
  </conditionalFormatting>
  <conditionalFormatting sqref="B4:B17">
    <cfRule type="colorScale" priority="1">
      <colorScale>
        <cfvo type="min"/>
        <cfvo type="max"/>
        <color rgb="FFFCFCFF"/>
        <color rgb="FFF8696B"/>
      </colorScale>
    </cfRule>
  </conditionalFormatting>
  <conditionalFormatting sqref="B45:B48">
    <cfRule type="colorScale" priority="5">
      <colorScale>
        <cfvo type="min"/>
        <cfvo type="max"/>
        <color rgb="FFFCFCFF"/>
        <color rgb="FFF8696B"/>
      </colorScale>
    </cfRule>
  </conditionalFormatting>
  <conditionalFormatting sqref="C4:C17">
    <cfRule type="colorScale" priority="2">
      <colorScale>
        <cfvo type="min"/>
        <cfvo type="max"/>
        <color rgb="FFFCFCFF"/>
        <color rgb="FFF8696B"/>
      </colorScale>
    </cfRule>
  </conditionalFormatting>
  <conditionalFormatting sqref="C45:C48">
    <cfRule type="colorScale" priority="4">
      <colorScale>
        <cfvo type="min"/>
        <cfvo type="max"/>
        <color rgb="FFFCFCFF"/>
        <color rgb="FFF8696B"/>
      </colorScale>
    </cfRule>
  </conditionalFormatting>
  <conditionalFormatting sqref="D4:D17">
    <cfRule type="colorScale" priority="3">
      <colorScale>
        <cfvo type="min"/>
        <cfvo type="max"/>
        <color rgb="FFFCFCFF"/>
        <color rgb="FFF8696B"/>
      </colorScale>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C2731-9D22-45F8-B84B-5EDEAFF88494}">
  <dimension ref="A1:K152"/>
  <sheetViews>
    <sheetView zoomScale="51" workbookViewId="0">
      <selection activeCell="Z143" sqref="Z143"/>
    </sheetView>
  </sheetViews>
  <sheetFormatPr defaultRowHeight="14.4" x14ac:dyDescent="0.3"/>
  <cols>
    <col min="1" max="1" width="46.109375" bestFit="1" customWidth="1"/>
    <col min="2" max="2" width="22.33203125" bestFit="1" customWidth="1"/>
    <col min="3" max="3" width="15.6640625" bestFit="1" customWidth="1"/>
    <col min="4" max="4" width="20.109375" bestFit="1" customWidth="1"/>
    <col min="5" max="5" width="20.77734375" bestFit="1" customWidth="1"/>
    <col min="6" max="6" width="19" bestFit="1" customWidth="1"/>
    <col min="7" max="7" width="24.21875" bestFit="1" customWidth="1"/>
    <col min="8" max="8" width="23.33203125" bestFit="1" customWidth="1"/>
    <col min="9" max="9" width="22.33203125" bestFit="1" customWidth="1"/>
    <col min="10" max="10" width="20.109375" bestFit="1" customWidth="1"/>
    <col min="11" max="11" width="11.109375" bestFit="1" customWidth="1"/>
  </cols>
  <sheetData>
    <row r="1" spans="1:11" x14ac:dyDescent="0.3">
      <c r="A1" s="59" t="s">
        <v>551</v>
      </c>
      <c r="B1" s="59"/>
      <c r="C1" s="59"/>
      <c r="D1" s="59"/>
      <c r="E1" s="59"/>
      <c r="F1" s="59"/>
    </row>
    <row r="2" spans="1:11" x14ac:dyDescent="0.3">
      <c r="J2" s="7" t="s">
        <v>588</v>
      </c>
      <c r="K2" s="7">
        <f>AVERAGE(K6:K12)</f>
        <v>30</v>
      </c>
    </row>
    <row r="3" spans="1:11" x14ac:dyDescent="0.3">
      <c r="E3" s="7" t="s">
        <v>587</v>
      </c>
      <c r="F3" s="7">
        <f>(D6*E6+D7*E7)/SUM(E6:E7)</f>
        <v>117.78846153846153</v>
      </c>
      <c r="H3" s="61" t="s">
        <v>540</v>
      </c>
      <c r="I3" s="61"/>
      <c r="J3" s="61"/>
      <c r="K3" s="61"/>
    </row>
    <row r="4" spans="1:11" x14ac:dyDescent="0.3">
      <c r="A4" s="56" t="s">
        <v>540</v>
      </c>
      <c r="B4" s="57"/>
      <c r="C4" s="57"/>
      <c r="D4" s="57"/>
      <c r="E4" s="57"/>
      <c r="F4" s="58"/>
      <c r="H4" s="7" t="s">
        <v>508</v>
      </c>
      <c r="I4" s="7" t="s">
        <v>24</v>
      </c>
      <c r="J4" s="7" t="s">
        <v>34</v>
      </c>
      <c r="K4" s="7" t="s">
        <v>392</v>
      </c>
    </row>
    <row r="5" spans="1:11" x14ac:dyDescent="0.3">
      <c r="A5" s="7" t="s">
        <v>507</v>
      </c>
      <c r="B5" s="7" t="s">
        <v>24</v>
      </c>
      <c r="C5" s="7" t="s">
        <v>34</v>
      </c>
      <c r="D5" s="7" t="s">
        <v>392</v>
      </c>
      <c r="E5" s="7" t="s">
        <v>538</v>
      </c>
      <c r="F5" s="7" t="s">
        <v>539</v>
      </c>
      <c r="H5" s="5">
        <v>31</v>
      </c>
      <c r="I5" s="5">
        <v>6</v>
      </c>
      <c r="J5" s="5">
        <v>3</v>
      </c>
      <c r="K5" s="5">
        <v>9</v>
      </c>
    </row>
    <row r="6" spans="1:11" x14ac:dyDescent="0.3">
      <c r="A6" s="5">
        <v>8</v>
      </c>
      <c r="B6" s="5">
        <v>105</v>
      </c>
      <c r="C6" s="5">
        <v>35</v>
      </c>
      <c r="D6" s="5">
        <v>140</v>
      </c>
      <c r="E6" s="5">
        <v>31</v>
      </c>
      <c r="F6" s="5">
        <f>D6/E6</f>
        <v>4.5161290322580649</v>
      </c>
      <c r="H6" s="5">
        <v>32</v>
      </c>
      <c r="I6" s="5">
        <v>25</v>
      </c>
      <c r="J6" s="5">
        <v>9</v>
      </c>
      <c r="K6" s="5">
        <v>34</v>
      </c>
    </row>
    <row r="7" spans="1:11" x14ac:dyDescent="0.3">
      <c r="A7" s="5">
        <v>9</v>
      </c>
      <c r="B7" s="5">
        <v>61</v>
      </c>
      <c r="C7" s="5">
        <v>24</v>
      </c>
      <c r="D7" s="5">
        <v>85</v>
      </c>
      <c r="E7" s="5">
        <v>21</v>
      </c>
      <c r="F7" s="5">
        <f>D7/E7</f>
        <v>4.0476190476190474</v>
      </c>
      <c r="H7" s="5">
        <v>33</v>
      </c>
      <c r="I7" s="5">
        <v>18</v>
      </c>
      <c r="J7" s="5">
        <v>7</v>
      </c>
      <c r="K7" s="5">
        <v>25</v>
      </c>
    </row>
    <row r="8" spans="1:11" x14ac:dyDescent="0.3">
      <c r="A8" s="5" t="s">
        <v>392</v>
      </c>
      <c r="B8" s="5">
        <v>166</v>
      </c>
      <c r="C8" s="5">
        <v>59</v>
      </c>
      <c r="D8" s="5">
        <v>225</v>
      </c>
      <c r="E8" s="5"/>
      <c r="F8" s="5"/>
      <c r="H8" s="5">
        <v>34</v>
      </c>
      <c r="I8" s="5">
        <v>23</v>
      </c>
      <c r="J8" s="5">
        <v>10</v>
      </c>
      <c r="K8" s="5">
        <v>33</v>
      </c>
    </row>
    <row r="9" spans="1:11" x14ac:dyDescent="0.3">
      <c r="H9" s="5">
        <v>35</v>
      </c>
      <c r="I9" s="5">
        <v>24</v>
      </c>
      <c r="J9" s="5">
        <v>5</v>
      </c>
      <c r="K9" s="5">
        <v>29</v>
      </c>
    </row>
    <row r="10" spans="1:11" x14ac:dyDescent="0.3">
      <c r="H10" s="5">
        <v>36</v>
      </c>
      <c r="I10" s="5">
        <v>22</v>
      </c>
      <c r="J10" s="5">
        <v>4</v>
      </c>
      <c r="K10" s="5">
        <v>26</v>
      </c>
    </row>
    <row r="11" spans="1:11" x14ac:dyDescent="0.3">
      <c r="H11" s="5">
        <v>37</v>
      </c>
      <c r="I11" s="5">
        <v>21</v>
      </c>
      <c r="J11" s="5">
        <v>7</v>
      </c>
      <c r="K11" s="5">
        <v>28</v>
      </c>
    </row>
    <row r="12" spans="1:11" x14ac:dyDescent="0.3">
      <c r="H12" s="5">
        <v>38</v>
      </c>
      <c r="I12" s="5">
        <v>23</v>
      </c>
      <c r="J12" s="5">
        <v>12</v>
      </c>
      <c r="K12" s="5">
        <v>35</v>
      </c>
    </row>
    <row r="13" spans="1:11" x14ac:dyDescent="0.3">
      <c r="H13" s="5">
        <v>39</v>
      </c>
      <c r="I13" s="5">
        <v>4</v>
      </c>
      <c r="J13" s="5">
        <v>2</v>
      </c>
      <c r="K13" s="5">
        <v>6</v>
      </c>
    </row>
    <row r="16" spans="1:11" x14ac:dyDescent="0.3">
      <c r="A16" s="59" t="s">
        <v>550</v>
      </c>
      <c r="B16" s="60"/>
      <c r="C16" s="60"/>
      <c r="D16" s="60"/>
      <c r="E16" s="60"/>
      <c r="F16" s="60"/>
    </row>
    <row r="18" spans="1:6" x14ac:dyDescent="0.3">
      <c r="A18" s="62" t="s">
        <v>542</v>
      </c>
      <c r="B18" s="62"/>
      <c r="C18" s="62"/>
      <c r="D18" s="62"/>
      <c r="E18" s="62"/>
      <c r="F18" s="62"/>
    </row>
    <row r="19" spans="1:6" x14ac:dyDescent="0.3">
      <c r="A19" s="7"/>
      <c r="B19" s="52" t="s">
        <v>541</v>
      </c>
      <c r="C19" s="52"/>
      <c r="D19" s="52"/>
      <c r="E19" s="52"/>
      <c r="F19" s="52"/>
    </row>
    <row r="20" spans="1:6" x14ac:dyDescent="0.3">
      <c r="A20" s="7" t="s">
        <v>497</v>
      </c>
      <c r="B20" s="7" t="s">
        <v>22</v>
      </c>
      <c r="C20" s="7" t="s">
        <v>82</v>
      </c>
      <c r="D20" s="7" t="s">
        <v>33</v>
      </c>
      <c r="E20" s="7" t="s">
        <v>29</v>
      </c>
      <c r="F20" s="7" t="s">
        <v>392</v>
      </c>
    </row>
    <row r="21" spans="1:6" x14ac:dyDescent="0.3">
      <c r="A21" s="5" t="s">
        <v>86</v>
      </c>
      <c r="B21" s="5">
        <v>6</v>
      </c>
      <c r="C21" s="5">
        <v>8</v>
      </c>
      <c r="D21" s="5">
        <v>2</v>
      </c>
      <c r="E21" s="5">
        <v>3</v>
      </c>
      <c r="F21" s="5">
        <v>19</v>
      </c>
    </row>
    <row r="22" spans="1:6" x14ac:dyDescent="0.3">
      <c r="A22" s="5" t="s">
        <v>42</v>
      </c>
      <c r="B22" s="5">
        <v>4</v>
      </c>
      <c r="C22" s="5">
        <v>5</v>
      </c>
      <c r="D22" s="5">
        <v>3</v>
      </c>
      <c r="E22" s="5">
        <v>6</v>
      </c>
      <c r="F22" s="5">
        <v>18</v>
      </c>
    </row>
    <row r="23" spans="1:6" x14ac:dyDescent="0.3">
      <c r="A23" s="5" t="s">
        <v>102</v>
      </c>
      <c r="B23" s="5">
        <v>4</v>
      </c>
      <c r="C23" s="5">
        <v>1</v>
      </c>
      <c r="D23" s="5">
        <v>6</v>
      </c>
      <c r="E23" s="5">
        <v>5</v>
      </c>
      <c r="F23" s="5">
        <v>16</v>
      </c>
    </row>
    <row r="24" spans="1:6" x14ac:dyDescent="0.3">
      <c r="A24" s="5" t="s">
        <v>72</v>
      </c>
      <c r="B24" s="5">
        <v>3</v>
      </c>
      <c r="C24" s="5">
        <v>3</v>
      </c>
      <c r="D24" s="5">
        <v>3</v>
      </c>
      <c r="E24" s="5">
        <v>5</v>
      </c>
      <c r="F24" s="5">
        <v>14</v>
      </c>
    </row>
    <row r="25" spans="1:6" x14ac:dyDescent="0.3">
      <c r="A25" s="5" t="s">
        <v>116</v>
      </c>
      <c r="B25" s="5">
        <v>3</v>
      </c>
      <c r="C25" s="5">
        <v>3</v>
      </c>
      <c r="D25" s="5">
        <v>5</v>
      </c>
      <c r="E25" s="5">
        <v>3</v>
      </c>
      <c r="F25" s="5">
        <v>14</v>
      </c>
    </row>
    <row r="26" spans="1:6" x14ac:dyDescent="0.3">
      <c r="A26" s="5" t="s">
        <v>52</v>
      </c>
      <c r="B26" s="5">
        <v>6</v>
      </c>
      <c r="C26" s="5">
        <v>5</v>
      </c>
      <c r="D26" s="5">
        <v>4</v>
      </c>
      <c r="E26" s="5">
        <v>6</v>
      </c>
      <c r="F26" s="5">
        <v>21</v>
      </c>
    </row>
    <row r="27" spans="1:6" x14ac:dyDescent="0.3">
      <c r="A27" s="5" t="s">
        <v>94</v>
      </c>
      <c r="B27" s="5">
        <v>3</v>
      </c>
      <c r="C27" s="5">
        <v>2</v>
      </c>
      <c r="D27" s="5">
        <v>7</v>
      </c>
      <c r="E27" s="5">
        <v>5</v>
      </c>
      <c r="F27" s="5">
        <v>17</v>
      </c>
    </row>
    <row r="28" spans="1:6" x14ac:dyDescent="0.3">
      <c r="A28" s="5" t="s">
        <v>66</v>
      </c>
      <c r="B28" s="5">
        <v>3</v>
      </c>
      <c r="C28" s="5">
        <v>4</v>
      </c>
      <c r="D28" s="5">
        <v>3</v>
      </c>
      <c r="E28" s="5">
        <v>4</v>
      </c>
      <c r="F28" s="5">
        <v>14</v>
      </c>
    </row>
    <row r="29" spans="1:6" x14ac:dyDescent="0.3">
      <c r="A29" s="5" t="s">
        <v>203</v>
      </c>
      <c r="B29" s="5">
        <v>6</v>
      </c>
      <c r="C29" s="5">
        <v>1</v>
      </c>
      <c r="D29" s="5">
        <v>4</v>
      </c>
      <c r="E29" s="5">
        <v>3</v>
      </c>
      <c r="F29" s="5">
        <v>14</v>
      </c>
    </row>
    <row r="30" spans="1:6" x14ac:dyDescent="0.3">
      <c r="A30" s="5" t="s">
        <v>23</v>
      </c>
      <c r="B30" s="5">
        <v>6</v>
      </c>
      <c r="C30" s="5">
        <v>1</v>
      </c>
      <c r="D30" s="5">
        <v>4</v>
      </c>
      <c r="E30" s="5">
        <v>7</v>
      </c>
      <c r="F30" s="5">
        <v>18</v>
      </c>
    </row>
    <row r="31" spans="1:6" x14ac:dyDescent="0.3">
      <c r="A31" s="5" t="s">
        <v>63</v>
      </c>
      <c r="B31" s="5">
        <v>7</v>
      </c>
      <c r="C31" s="5">
        <v>4</v>
      </c>
      <c r="D31" s="5">
        <v>2</v>
      </c>
      <c r="E31" s="5">
        <v>3</v>
      </c>
      <c r="F31" s="5">
        <v>16</v>
      </c>
    </row>
    <row r="32" spans="1:6" x14ac:dyDescent="0.3">
      <c r="A32" s="5" t="s">
        <v>39</v>
      </c>
      <c r="B32" s="5">
        <v>5</v>
      </c>
      <c r="C32" s="5">
        <v>5</v>
      </c>
      <c r="D32" s="5">
        <v>4</v>
      </c>
      <c r="E32" s="5">
        <v>4</v>
      </c>
      <c r="F32" s="5">
        <v>18</v>
      </c>
    </row>
    <row r="33" spans="1:8" x14ac:dyDescent="0.3">
      <c r="A33" s="5" t="s">
        <v>142</v>
      </c>
      <c r="B33" s="5">
        <v>3</v>
      </c>
      <c r="C33" s="5">
        <v>3</v>
      </c>
      <c r="D33" s="5">
        <v>1</v>
      </c>
      <c r="E33" s="5">
        <v>3</v>
      </c>
      <c r="F33" s="5">
        <v>10</v>
      </c>
    </row>
    <row r="34" spans="1:8" x14ac:dyDescent="0.3">
      <c r="A34" s="5" t="s">
        <v>76</v>
      </c>
      <c r="B34" s="5">
        <v>4</v>
      </c>
      <c r="C34" s="5">
        <v>2</v>
      </c>
      <c r="D34" s="5">
        <v>4</v>
      </c>
      <c r="E34" s="5">
        <v>6</v>
      </c>
      <c r="F34" s="5">
        <v>16</v>
      </c>
    </row>
    <row r="35" spans="1:8" x14ac:dyDescent="0.3">
      <c r="A35" s="5" t="s">
        <v>392</v>
      </c>
      <c r="B35" s="5">
        <v>63</v>
      </c>
      <c r="C35" s="5">
        <v>47</v>
      </c>
      <c r="D35" s="5">
        <v>52</v>
      </c>
      <c r="E35" s="5">
        <v>63</v>
      </c>
      <c r="F35" s="5">
        <v>225</v>
      </c>
    </row>
    <row r="40" spans="1:8" x14ac:dyDescent="0.3">
      <c r="A40" s="59" t="s">
        <v>552</v>
      </c>
      <c r="B40" s="59"/>
      <c r="C40" s="59"/>
      <c r="D40" s="59"/>
      <c r="E40" s="59"/>
      <c r="F40" s="59"/>
      <c r="G40" s="59"/>
      <c r="H40" s="59"/>
    </row>
    <row r="42" spans="1:8" x14ac:dyDescent="0.3">
      <c r="A42" s="7" t="s">
        <v>545</v>
      </c>
      <c r="B42" s="7" t="s">
        <v>24</v>
      </c>
      <c r="C42" s="7" t="s">
        <v>34</v>
      </c>
      <c r="D42" s="7" t="s">
        <v>394</v>
      </c>
      <c r="E42" s="7" t="s">
        <v>543</v>
      </c>
      <c r="F42" s="7" t="s">
        <v>544</v>
      </c>
      <c r="G42" s="7" t="s">
        <v>502</v>
      </c>
      <c r="H42" s="7" t="s">
        <v>503</v>
      </c>
    </row>
    <row r="43" spans="1:8" x14ac:dyDescent="0.3">
      <c r="A43" s="5" t="s">
        <v>55</v>
      </c>
      <c r="B43" s="5">
        <v>32</v>
      </c>
      <c r="C43" s="5">
        <v>6</v>
      </c>
      <c r="D43" s="5">
        <v>38</v>
      </c>
      <c r="E43" s="18">
        <v>0.84210526315789469</v>
      </c>
      <c r="F43" s="18">
        <v>0.15789473684210525</v>
      </c>
      <c r="G43" s="35">
        <v>157.29942652326071</v>
      </c>
      <c r="H43" s="35">
        <v>6.5541935483870963</v>
      </c>
    </row>
    <row r="44" spans="1:8" x14ac:dyDescent="0.3">
      <c r="A44" s="5" t="s">
        <v>17</v>
      </c>
      <c r="B44" s="5">
        <v>18</v>
      </c>
      <c r="C44" s="5">
        <v>4</v>
      </c>
      <c r="D44" s="5">
        <v>22</v>
      </c>
      <c r="E44" s="18">
        <v>0.81818181818181823</v>
      </c>
      <c r="F44" s="18">
        <v>0.18181818181818182</v>
      </c>
      <c r="G44" s="35">
        <v>185.93888888892252</v>
      </c>
      <c r="H44" s="35">
        <v>7.7472222222222218</v>
      </c>
    </row>
    <row r="45" spans="1:8" x14ac:dyDescent="0.3">
      <c r="A45" s="5" t="s">
        <v>78</v>
      </c>
      <c r="B45" s="5">
        <v>18</v>
      </c>
      <c r="C45" s="5">
        <v>5</v>
      </c>
      <c r="D45" s="5">
        <v>23</v>
      </c>
      <c r="E45" s="18">
        <v>0.78260869565217395</v>
      </c>
      <c r="F45" s="18">
        <v>0.21739130434782608</v>
      </c>
      <c r="G45" s="35">
        <v>138.55987037036101</v>
      </c>
      <c r="H45" s="35">
        <v>5.7713333333333328</v>
      </c>
    </row>
    <row r="46" spans="1:8" x14ac:dyDescent="0.3">
      <c r="A46" s="5" t="s">
        <v>30</v>
      </c>
      <c r="B46" s="5">
        <v>17</v>
      </c>
      <c r="C46" s="5">
        <v>8</v>
      </c>
      <c r="D46" s="5">
        <v>25</v>
      </c>
      <c r="E46" s="18">
        <v>0.68</v>
      </c>
      <c r="F46" s="18">
        <v>0.32</v>
      </c>
      <c r="G46" s="35">
        <v>161.32418300652782</v>
      </c>
      <c r="H46" s="35">
        <v>6.7217647058823538</v>
      </c>
    </row>
    <row r="47" spans="1:8" x14ac:dyDescent="0.3">
      <c r="A47" s="5" t="s">
        <v>95</v>
      </c>
      <c r="B47" s="5">
        <v>16</v>
      </c>
      <c r="C47" s="5">
        <v>5</v>
      </c>
      <c r="D47" s="5">
        <v>21</v>
      </c>
      <c r="E47" s="18">
        <v>0.76190476190476186</v>
      </c>
      <c r="F47" s="18">
        <v>0.23809523809523808</v>
      </c>
      <c r="G47" s="35">
        <v>116.70129629629665</v>
      </c>
      <c r="H47" s="35">
        <v>4.8619999999999983</v>
      </c>
    </row>
    <row r="48" spans="1:8" x14ac:dyDescent="0.3">
      <c r="A48" s="5" t="s">
        <v>46</v>
      </c>
      <c r="B48" s="5">
        <v>15</v>
      </c>
      <c r="C48" s="5">
        <v>2</v>
      </c>
      <c r="D48" s="5">
        <v>17</v>
      </c>
      <c r="E48" s="18">
        <v>0.88235294117647056</v>
      </c>
      <c r="F48" s="18">
        <v>0.11764705882352941</v>
      </c>
      <c r="G48" s="35">
        <v>144.90867063492936</v>
      </c>
      <c r="H48" s="35">
        <v>6.0371428571428565</v>
      </c>
    </row>
    <row r="49" spans="1:8" x14ac:dyDescent="0.3">
      <c r="A49" s="5" t="s">
        <v>48</v>
      </c>
      <c r="B49" s="5">
        <v>14</v>
      </c>
      <c r="C49" s="5">
        <v>8</v>
      </c>
      <c r="D49" s="5">
        <v>22</v>
      </c>
      <c r="E49" s="18">
        <v>0.63636363636363635</v>
      </c>
      <c r="F49" s="18">
        <v>0.36363636363636365</v>
      </c>
      <c r="G49" s="35">
        <v>162.2386752136965</v>
      </c>
      <c r="H49" s="35">
        <v>6.7607692307692311</v>
      </c>
    </row>
    <row r="50" spans="1:8" x14ac:dyDescent="0.3">
      <c r="A50" s="5" t="s">
        <v>26</v>
      </c>
      <c r="B50" s="5">
        <v>13</v>
      </c>
      <c r="C50" s="5">
        <v>5</v>
      </c>
      <c r="D50" s="5">
        <v>18</v>
      </c>
      <c r="E50" s="18">
        <v>0.72222222222222221</v>
      </c>
      <c r="F50" s="18">
        <v>0.27777777777777779</v>
      </c>
      <c r="G50" s="35">
        <v>141.84564102564653</v>
      </c>
      <c r="H50" s="35">
        <v>5.9107692307692314</v>
      </c>
    </row>
    <row r="51" spans="1:8" x14ac:dyDescent="0.3">
      <c r="A51" s="5" t="s">
        <v>58</v>
      </c>
      <c r="B51" s="5">
        <v>12</v>
      </c>
      <c r="C51" s="5">
        <v>7</v>
      </c>
      <c r="D51" s="5">
        <v>19</v>
      </c>
      <c r="E51" s="18">
        <v>0.63157894736842102</v>
      </c>
      <c r="F51" s="18">
        <v>0.36842105263157893</v>
      </c>
      <c r="G51" s="35">
        <v>212.36825757573189</v>
      </c>
      <c r="H51" s="35">
        <v>8.8490909090909078</v>
      </c>
    </row>
    <row r="52" spans="1:8" x14ac:dyDescent="0.3">
      <c r="A52" s="5" t="s">
        <v>43</v>
      </c>
      <c r="B52" s="5">
        <v>11</v>
      </c>
      <c r="C52" s="5">
        <v>4</v>
      </c>
      <c r="D52" s="5">
        <v>15</v>
      </c>
      <c r="E52" s="18">
        <v>0.73333333333333328</v>
      </c>
      <c r="F52" s="18">
        <v>0.26666666666666666</v>
      </c>
      <c r="G52" s="35">
        <v>223.97959595963104</v>
      </c>
      <c r="H52" s="35">
        <v>9.3318181818181802</v>
      </c>
    </row>
    <row r="56" spans="1:8" x14ac:dyDescent="0.3">
      <c r="A56" s="7" t="s">
        <v>546</v>
      </c>
      <c r="B56" s="7" t="s">
        <v>24</v>
      </c>
      <c r="C56" s="7" t="s">
        <v>34</v>
      </c>
      <c r="D56" s="7" t="s">
        <v>394</v>
      </c>
      <c r="E56" s="7" t="s">
        <v>543</v>
      </c>
      <c r="F56" s="7" t="s">
        <v>544</v>
      </c>
      <c r="G56" s="7" t="s">
        <v>502</v>
      </c>
      <c r="H56" s="7" t="s">
        <v>503</v>
      </c>
    </row>
    <row r="57" spans="1:8" x14ac:dyDescent="0.3">
      <c r="A57" s="36" t="s">
        <v>27</v>
      </c>
      <c r="B57" s="5">
        <v>62</v>
      </c>
      <c r="C57" s="5">
        <v>18</v>
      </c>
      <c r="D57" s="5">
        <v>80</v>
      </c>
      <c r="E57" s="18">
        <f>B57/D57</f>
        <v>0.77500000000000002</v>
      </c>
      <c r="F57" s="18">
        <f>C57/D57</f>
        <v>0.22500000000000001</v>
      </c>
      <c r="G57" s="11">
        <v>155.20839814814389</v>
      </c>
      <c r="H57" s="11">
        <v>6.4669999999999996</v>
      </c>
    </row>
    <row r="58" spans="1:8" x14ac:dyDescent="0.3">
      <c r="A58" s="36" t="s">
        <v>49</v>
      </c>
      <c r="B58" s="5">
        <v>57</v>
      </c>
      <c r="C58" s="5">
        <v>21</v>
      </c>
      <c r="D58" s="5">
        <v>78</v>
      </c>
      <c r="E58" s="18">
        <f>B58/D58</f>
        <v>0.73076923076923073</v>
      </c>
      <c r="F58" s="18">
        <f>C58/D58</f>
        <v>0.26923076923076922</v>
      </c>
      <c r="G58" s="11">
        <v>165.57894654087019</v>
      </c>
      <c r="H58" s="11">
        <v>6.8988679245283029</v>
      </c>
    </row>
    <row r="59" spans="1:8" x14ac:dyDescent="0.3">
      <c r="A59" s="36" t="s">
        <v>36</v>
      </c>
      <c r="B59" s="5">
        <v>27</v>
      </c>
      <c r="C59" s="5">
        <v>10</v>
      </c>
      <c r="D59" s="5">
        <v>37</v>
      </c>
      <c r="E59" s="18">
        <f>B59/D59</f>
        <v>0.72972972972972971</v>
      </c>
      <c r="F59" s="18">
        <f>C59/D59</f>
        <v>0.27027027027027029</v>
      </c>
      <c r="G59" s="11">
        <v>179.82965811967958</v>
      </c>
      <c r="H59" s="11">
        <v>7.4930769230769236</v>
      </c>
    </row>
    <row r="60" spans="1:8" x14ac:dyDescent="0.3">
      <c r="A60" s="36" t="s">
        <v>19</v>
      </c>
      <c r="B60" s="5">
        <v>20</v>
      </c>
      <c r="C60" s="5">
        <v>10</v>
      </c>
      <c r="D60" s="5">
        <v>30</v>
      </c>
      <c r="E60" s="18">
        <f>B60/D60</f>
        <v>0.66666666666666663</v>
      </c>
      <c r="F60" s="18">
        <f>C60/D60</f>
        <v>0.33333333333333331</v>
      </c>
      <c r="G60" s="11">
        <v>148.0260818713455</v>
      </c>
      <c r="H60" s="11">
        <v>6.1663157894736838</v>
      </c>
    </row>
    <row r="63" spans="1:8" x14ac:dyDescent="0.3">
      <c r="A63" s="7" t="s">
        <v>547</v>
      </c>
      <c r="B63" s="7" t="s">
        <v>548</v>
      </c>
      <c r="C63" s="7" t="s">
        <v>549</v>
      </c>
      <c r="D63" s="7" t="s">
        <v>394</v>
      </c>
      <c r="E63" s="7" t="s">
        <v>543</v>
      </c>
      <c r="F63" s="7" t="s">
        <v>544</v>
      </c>
      <c r="G63" s="7" t="s">
        <v>502</v>
      </c>
      <c r="H63" s="7" t="s">
        <v>503</v>
      </c>
    </row>
    <row r="64" spans="1:8" x14ac:dyDescent="0.3">
      <c r="A64" s="36" t="s">
        <v>22</v>
      </c>
      <c r="B64" s="5">
        <v>46</v>
      </c>
      <c r="C64" s="5">
        <v>17</v>
      </c>
      <c r="D64" s="5">
        <v>63</v>
      </c>
      <c r="E64" s="18">
        <v>0.73015873015873012</v>
      </c>
      <c r="F64" s="18">
        <v>0.26984126984126983</v>
      </c>
      <c r="G64" s="11">
        <v>145.33127777777554</v>
      </c>
      <c r="H64" s="11">
        <v>6.0547500000000003</v>
      </c>
    </row>
    <row r="65" spans="1:8" x14ac:dyDescent="0.3">
      <c r="A65" s="36" t="s">
        <v>29</v>
      </c>
      <c r="B65" s="5">
        <v>45</v>
      </c>
      <c r="C65" s="5">
        <v>18</v>
      </c>
      <c r="D65" s="5">
        <v>63</v>
      </c>
      <c r="E65" s="18">
        <v>0.7142857142857143</v>
      </c>
      <c r="F65" s="18">
        <v>0.2857142857142857</v>
      </c>
      <c r="G65" s="11">
        <v>164.91493055555276</v>
      </c>
      <c r="H65" s="11">
        <v>6.871363636363637</v>
      </c>
    </row>
    <row r="66" spans="1:8" x14ac:dyDescent="0.3">
      <c r="A66" s="36" t="s">
        <v>33</v>
      </c>
      <c r="B66" s="5">
        <v>37</v>
      </c>
      <c r="C66" s="5">
        <v>15</v>
      </c>
      <c r="D66" s="5">
        <v>52</v>
      </c>
      <c r="E66" s="18">
        <v>0.71153846153846156</v>
      </c>
      <c r="F66" s="18">
        <v>0.28846153846153844</v>
      </c>
      <c r="G66" s="11">
        <v>172.65607253084696</v>
      </c>
      <c r="H66" s="11">
        <v>7.1947222222222216</v>
      </c>
    </row>
    <row r="67" spans="1:8" x14ac:dyDescent="0.3">
      <c r="A67" s="36" t="s">
        <v>82</v>
      </c>
      <c r="B67" s="5">
        <v>38</v>
      </c>
      <c r="C67" s="5">
        <v>9</v>
      </c>
      <c r="D67" s="5">
        <v>47</v>
      </c>
      <c r="E67" s="18">
        <v>0.80851063829787229</v>
      </c>
      <c r="F67" s="18">
        <v>0.19148936170212766</v>
      </c>
      <c r="G67" s="11">
        <v>165.55600146200405</v>
      </c>
      <c r="H67" s="11">
        <v>6.897368421052632</v>
      </c>
    </row>
    <row r="70" spans="1:8" x14ac:dyDescent="0.3">
      <c r="A70" s="59" t="s">
        <v>567</v>
      </c>
      <c r="B70" s="59"/>
      <c r="C70" s="59"/>
      <c r="D70" s="59"/>
      <c r="E70" s="59"/>
      <c r="F70" s="59"/>
      <c r="G70" s="59"/>
      <c r="H70" s="59"/>
    </row>
    <row r="72" spans="1:8" x14ac:dyDescent="0.3">
      <c r="A72" s="55" t="s">
        <v>582</v>
      </c>
      <c r="B72" s="55"/>
      <c r="C72" s="55"/>
    </row>
    <row r="73" spans="1:8" x14ac:dyDescent="0.3">
      <c r="A73" s="7" t="s">
        <v>556</v>
      </c>
      <c r="B73" s="7" t="s">
        <v>566</v>
      </c>
      <c r="C73" s="7" t="s">
        <v>568</v>
      </c>
    </row>
    <row r="74" spans="1:8" x14ac:dyDescent="0.3">
      <c r="A74" s="5" t="s">
        <v>557</v>
      </c>
      <c r="B74" s="5">
        <v>43</v>
      </c>
      <c r="C74" s="18">
        <v>0.19111111111111112</v>
      </c>
    </row>
    <row r="75" spans="1:8" x14ac:dyDescent="0.3">
      <c r="A75" s="5" t="s">
        <v>558</v>
      </c>
      <c r="B75" s="5">
        <v>27</v>
      </c>
      <c r="C75" s="18">
        <v>0.12</v>
      </c>
    </row>
    <row r="76" spans="1:8" x14ac:dyDescent="0.3">
      <c r="A76" s="5" t="s">
        <v>560</v>
      </c>
      <c r="B76" s="5">
        <v>23</v>
      </c>
      <c r="C76" s="18">
        <v>0.10222222222222223</v>
      </c>
    </row>
    <row r="77" spans="1:8" x14ac:dyDescent="0.3">
      <c r="A77" s="5" t="s">
        <v>561</v>
      </c>
      <c r="B77" s="5">
        <v>33</v>
      </c>
      <c r="C77" s="18">
        <v>0.14666666666666667</v>
      </c>
    </row>
    <row r="78" spans="1:8" x14ac:dyDescent="0.3">
      <c r="A78" s="5" t="s">
        <v>562</v>
      </c>
      <c r="B78" s="5">
        <v>22</v>
      </c>
      <c r="C78" s="18">
        <v>9.7777777777777783E-2</v>
      </c>
    </row>
    <row r="79" spans="1:8" x14ac:dyDescent="0.3">
      <c r="A79" s="5" t="s">
        <v>563</v>
      </c>
      <c r="B79" s="5">
        <v>36</v>
      </c>
      <c r="C79" s="18">
        <v>0.16</v>
      </c>
    </row>
    <row r="80" spans="1:8" x14ac:dyDescent="0.3">
      <c r="A80" s="5" t="s">
        <v>564</v>
      </c>
      <c r="B80" s="5">
        <v>41</v>
      </c>
      <c r="C80" s="18">
        <v>0.18222222222222223</v>
      </c>
    </row>
    <row r="87" spans="1:9" x14ac:dyDescent="0.3">
      <c r="A87" s="55" t="s">
        <v>583</v>
      </c>
      <c r="B87" s="55"/>
      <c r="H87" s="55" t="s">
        <v>584</v>
      </c>
      <c r="I87" s="55"/>
    </row>
    <row r="88" spans="1:9" x14ac:dyDescent="0.3">
      <c r="A88" s="7" t="s">
        <v>554</v>
      </c>
      <c r="B88" s="7" t="s">
        <v>566</v>
      </c>
      <c r="H88" s="7" t="s">
        <v>555</v>
      </c>
      <c r="I88" s="7" t="s">
        <v>566</v>
      </c>
    </row>
    <row r="89" spans="1:9" x14ac:dyDescent="0.3">
      <c r="A89" s="5">
        <v>1</v>
      </c>
      <c r="B89" s="5">
        <v>5</v>
      </c>
      <c r="H89" s="5">
        <v>1</v>
      </c>
      <c r="I89" s="5">
        <v>4</v>
      </c>
    </row>
    <row r="90" spans="1:9" x14ac:dyDescent="0.3">
      <c r="A90" s="5">
        <v>2</v>
      </c>
      <c r="B90" s="5">
        <v>4</v>
      </c>
      <c r="H90" s="5">
        <v>2</v>
      </c>
      <c r="I90" s="5">
        <v>3</v>
      </c>
    </row>
    <row r="91" spans="1:9" x14ac:dyDescent="0.3">
      <c r="A91" s="5">
        <v>3</v>
      </c>
      <c r="B91" s="5">
        <v>6</v>
      </c>
      <c r="H91" s="5">
        <v>3</v>
      </c>
      <c r="I91" s="5">
        <v>4</v>
      </c>
    </row>
    <row r="92" spans="1:9" x14ac:dyDescent="0.3">
      <c r="A92" s="5">
        <v>4</v>
      </c>
      <c r="B92" s="5">
        <v>5</v>
      </c>
      <c r="H92" s="5">
        <v>4</v>
      </c>
      <c r="I92" s="5">
        <v>2</v>
      </c>
    </row>
    <row r="93" spans="1:9" x14ac:dyDescent="0.3">
      <c r="A93" s="5">
        <v>5</v>
      </c>
      <c r="B93" s="5">
        <v>6</v>
      </c>
      <c r="H93" s="5">
        <v>5</v>
      </c>
      <c r="I93" s="5">
        <v>3</v>
      </c>
    </row>
    <row r="94" spans="1:9" x14ac:dyDescent="0.3">
      <c r="A94" s="5">
        <v>6</v>
      </c>
      <c r="B94" s="5">
        <v>3</v>
      </c>
      <c r="H94" s="5">
        <v>7</v>
      </c>
      <c r="I94" s="5">
        <v>2</v>
      </c>
    </row>
    <row r="95" spans="1:9" x14ac:dyDescent="0.3">
      <c r="A95" s="5">
        <v>7</v>
      </c>
      <c r="B95" s="5">
        <v>2</v>
      </c>
      <c r="H95" s="5">
        <v>8</v>
      </c>
      <c r="I95" s="5">
        <v>4</v>
      </c>
    </row>
    <row r="96" spans="1:9" x14ac:dyDescent="0.3">
      <c r="A96" s="5">
        <v>8</v>
      </c>
      <c r="B96" s="5">
        <v>2</v>
      </c>
      <c r="H96" s="5">
        <v>9</v>
      </c>
      <c r="I96" s="5">
        <v>2</v>
      </c>
    </row>
    <row r="97" spans="1:9" x14ac:dyDescent="0.3">
      <c r="A97" s="5">
        <v>9</v>
      </c>
      <c r="B97" s="5">
        <v>10</v>
      </c>
      <c r="H97" s="5">
        <v>10</v>
      </c>
      <c r="I97" s="5">
        <v>4</v>
      </c>
    </row>
    <row r="98" spans="1:9" x14ac:dyDescent="0.3">
      <c r="A98" s="5">
        <v>10</v>
      </c>
      <c r="B98" s="5">
        <v>4</v>
      </c>
      <c r="H98" s="5">
        <v>11</v>
      </c>
      <c r="I98" s="5">
        <v>2</v>
      </c>
    </row>
    <row r="99" spans="1:9" x14ac:dyDescent="0.3">
      <c r="A99" s="5">
        <v>11</v>
      </c>
      <c r="B99" s="5">
        <v>3</v>
      </c>
      <c r="H99" s="5">
        <v>12</v>
      </c>
      <c r="I99" s="5">
        <v>7</v>
      </c>
    </row>
    <row r="100" spans="1:9" x14ac:dyDescent="0.3">
      <c r="A100" s="5">
        <v>12</v>
      </c>
      <c r="B100" s="5">
        <v>3</v>
      </c>
      <c r="H100" s="5">
        <v>13</v>
      </c>
      <c r="I100" s="5">
        <v>7</v>
      </c>
    </row>
    <row r="101" spans="1:9" x14ac:dyDescent="0.3">
      <c r="A101" s="5">
        <v>13</v>
      </c>
      <c r="B101" s="5">
        <v>5</v>
      </c>
      <c r="H101" s="5">
        <v>14</v>
      </c>
      <c r="I101" s="5">
        <v>7</v>
      </c>
    </row>
    <row r="102" spans="1:9" x14ac:dyDescent="0.3">
      <c r="A102" s="5">
        <v>14</v>
      </c>
      <c r="B102" s="5">
        <v>3</v>
      </c>
      <c r="H102" s="5">
        <v>15</v>
      </c>
      <c r="I102" s="5">
        <v>5</v>
      </c>
    </row>
    <row r="103" spans="1:9" x14ac:dyDescent="0.3">
      <c r="A103" s="5">
        <v>15</v>
      </c>
      <c r="B103" s="5">
        <v>4</v>
      </c>
      <c r="H103" s="5">
        <v>16</v>
      </c>
      <c r="I103" s="5">
        <v>3</v>
      </c>
    </row>
    <row r="104" spans="1:9" x14ac:dyDescent="0.3">
      <c r="A104" s="5">
        <v>16</v>
      </c>
      <c r="B104" s="5">
        <v>3</v>
      </c>
      <c r="H104" s="5">
        <v>17</v>
      </c>
      <c r="I104" s="5">
        <v>5</v>
      </c>
    </row>
    <row r="105" spans="1:9" x14ac:dyDescent="0.3">
      <c r="A105" s="5">
        <v>17</v>
      </c>
      <c r="B105" s="5">
        <v>3</v>
      </c>
      <c r="H105" s="5">
        <v>18</v>
      </c>
      <c r="I105" s="5">
        <v>3</v>
      </c>
    </row>
    <row r="106" spans="1:9" x14ac:dyDescent="0.3">
      <c r="A106" s="5">
        <v>18</v>
      </c>
      <c r="B106" s="5">
        <v>4</v>
      </c>
      <c r="H106" s="5">
        <v>19</v>
      </c>
      <c r="I106" s="5">
        <v>6</v>
      </c>
    </row>
    <row r="107" spans="1:9" x14ac:dyDescent="0.3">
      <c r="A107" s="5">
        <v>19</v>
      </c>
      <c r="B107" s="5">
        <v>4</v>
      </c>
      <c r="H107" s="5">
        <v>20</v>
      </c>
      <c r="I107" s="5">
        <v>6</v>
      </c>
    </row>
    <row r="108" spans="1:9" x14ac:dyDescent="0.3">
      <c r="A108" s="5">
        <v>20</v>
      </c>
      <c r="B108" s="5">
        <v>5</v>
      </c>
      <c r="H108" s="5">
        <v>21</v>
      </c>
      <c r="I108" s="5">
        <v>6</v>
      </c>
    </row>
    <row r="109" spans="1:9" x14ac:dyDescent="0.3">
      <c r="A109" s="5">
        <v>21</v>
      </c>
      <c r="B109" s="5">
        <v>6</v>
      </c>
    </row>
    <row r="110" spans="1:9" x14ac:dyDescent="0.3">
      <c r="A110" s="5">
        <v>22</v>
      </c>
      <c r="B110" s="5">
        <v>5</v>
      </c>
    </row>
    <row r="111" spans="1:9" x14ac:dyDescent="0.3">
      <c r="A111" s="5">
        <v>23</v>
      </c>
      <c r="B111" s="5">
        <v>6</v>
      </c>
    </row>
    <row r="112" spans="1:9" x14ac:dyDescent="0.3">
      <c r="A112" s="5">
        <v>24</v>
      </c>
      <c r="B112" s="5">
        <v>5</v>
      </c>
    </row>
    <row r="113" spans="1:3" x14ac:dyDescent="0.3">
      <c r="A113" s="5">
        <v>25</v>
      </c>
      <c r="B113" s="5">
        <v>2</v>
      </c>
    </row>
    <row r="114" spans="1:3" x14ac:dyDescent="0.3">
      <c r="A114" s="5">
        <v>26</v>
      </c>
      <c r="B114" s="5">
        <v>2</v>
      </c>
    </row>
    <row r="115" spans="1:3" x14ac:dyDescent="0.3">
      <c r="A115" s="5">
        <v>27</v>
      </c>
      <c r="B115" s="5">
        <v>7</v>
      </c>
    </row>
    <row r="116" spans="1:3" x14ac:dyDescent="0.3">
      <c r="A116" s="5">
        <v>28</v>
      </c>
      <c r="B116" s="5">
        <v>4</v>
      </c>
    </row>
    <row r="117" spans="1:3" x14ac:dyDescent="0.3">
      <c r="A117" s="5">
        <v>29</v>
      </c>
      <c r="B117" s="5">
        <v>4</v>
      </c>
    </row>
    <row r="118" spans="1:3" x14ac:dyDescent="0.3">
      <c r="A118" s="5">
        <v>30</v>
      </c>
      <c r="B118" s="5">
        <v>5</v>
      </c>
    </row>
    <row r="119" spans="1:3" x14ac:dyDescent="0.3">
      <c r="A119" s="5">
        <v>31</v>
      </c>
      <c r="B119" s="5">
        <v>10</v>
      </c>
    </row>
    <row r="121" spans="1:3" x14ac:dyDescent="0.3">
      <c r="A121" s="55" t="s">
        <v>585</v>
      </c>
      <c r="B121" s="55"/>
      <c r="C121" s="55"/>
    </row>
    <row r="122" spans="1:3" x14ac:dyDescent="0.3">
      <c r="A122" s="7" t="s">
        <v>565</v>
      </c>
      <c r="B122" s="7" t="s">
        <v>566</v>
      </c>
      <c r="C122" s="7" t="s">
        <v>568</v>
      </c>
    </row>
    <row r="123" spans="1:3" x14ac:dyDescent="0.3">
      <c r="A123" s="5" t="s">
        <v>580</v>
      </c>
      <c r="B123" s="5">
        <v>25</v>
      </c>
      <c r="C123" s="37">
        <v>0.1111111111111111</v>
      </c>
    </row>
    <row r="124" spans="1:3" x14ac:dyDescent="0.3">
      <c r="A124" s="5" t="s">
        <v>569</v>
      </c>
      <c r="B124" s="5">
        <v>16</v>
      </c>
      <c r="C124" s="37">
        <v>7.1111111111111111E-2</v>
      </c>
    </row>
    <row r="125" spans="1:3" x14ac:dyDescent="0.3">
      <c r="A125" s="5" t="s">
        <v>570</v>
      </c>
      <c r="B125" s="5">
        <v>13</v>
      </c>
      <c r="C125" s="37">
        <v>5.7777777777777775E-2</v>
      </c>
    </row>
    <row r="126" spans="1:3" x14ac:dyDescent="0.3">
      <c r="A126" s="5" t="s">
        <v>571</v>
      </c>
      <c r="B126" s="5">
        <v>25</v>
      </c>
      <c r="C126" s="37">
        <v>0.1111111111111111</v>
      </c>
    </row>
    <row r="127" spans="1:3" x14ac:dyDescent="0.3">
      <c r="A127" s="5" t="s">
        <v>572</v>
      </c>
      <c r="B127" s="5">
        <v>24</v>
      </c>
      <c r="C127" s="37">
        <v>0.10666666666666667</v>
      </c>
    </row>
    <row r="128" spans="1:3" x14ac:dyDescent="0.3">
      <c r="A128" s="5" t="s">
        <v>573</v>
      </c>
      <c r="B128" s="5">
        <v>15</v>
      </c>
      <c r="C128" s="37">
        <v>6.6666666666666666E-2</v>
      </c>
    </row>
    <row r="129" spans="1:8" x14ac:dyDescent="0.3">
      <c r="A129" s="5" t="s">
        <v>574</v>
      </c>
      <c r="B129" s="5">
        <v>18</v>
      </c>
      <c r="C129" s="37">
        <v>0.08</v>
      </c>
    </row>
    <row r="130" spans="1:8" x14ac:dyDescent="0.3">
      <c r="A130" s="5" t="s">
        <v>575</v>
      </c>
      <c r="B130" s="5">
        <v>24</v>
      </c>
      <c r="C130" s="37">
        <v>0.10666666666666667</v>
      </c>
    </row>
    <row r="131" spans="1:8" x14ac:dyDescent="0.3">
      <c r="A131" s="5" t="s">
        <v>576</v>
      </c>
      <c r="B131" s="5">
        <v>16</v>
      </c>
      <c r="C131" s="37">
        <v>7.1111111111111111E-2</v>
      </c>
    </row>
    <row r="132" spans="1:8" x14ac:dyDescent="0.3">
      <c r="A132" s="5" t="s">
        <v>577</v>
      </c>
      <c r="B132" s="5">
        <v>20</v>
      </c>
      <c r="C132" s="37">
        <v>8.8888888888888892E-2</v>
      </c>
    </row>
    <row r="133" spans="1:8" x14ac:dyDescent="0.3">
      <c r="A133" s="5" t="s">
        <v>578</v>
      </c>
      <c r="B133" s="5">
        <v>15</v>
      </c>
      <c r="C133" s="37">
        <v>6.6666666666666666E-2</v>
      </c>
    </row>
    <row r="134" spans="1:8" x14ac:dyDescent="0.3">
      <c r="A134" s="5" t="s">
        <v>579</v>
      </c>
      <c r="B134" s="5">
        <v>14</v>
      </c>
      <c r="C134" s="37">
        <v>6.222222222222222E-2</v>
      </c>
    </row>
    <row r="135" spans="1:8" x14ac:dyDescent="0.3">
      <c r="A135" s="3"/>
    </row>
    <row r="139" spans="1:8" x14ac:dyDescent="0.3">
      <c r="A139" s="55" t="s">
        <v>586</v>
      </c>
      <c r="B139" s="55"/>
      <c r="C139" s="55"/>
      <c r="D139" s="55"/>
      <c r="E139" s="55"/>
      <c r="F139" s="55"/>
      <c r="G139" s="55"/>
      <c r="H139" s="55"/>
    </row>
    <row r="140" spans="1:8" x14ac:dyDescent="0.3">
      <c r="A140" s="7" t="s">
        <v>391</v>
      </c>
      <c r="B140" s="7" t="s">
        <v>557</v>
      </c>
      <c r="C140" s="7" t="s">
        <v>559</v>
      </c>
      <c r="D140" s="7" t="s">
        <v>560</v>
      </c>
      <c r="E140" s="7" t="s">
        <v>561</v>
      </c>
      <c r="F140" s="7" t="s">
        <v>581</v>
      </c>
      <c r="G140" s="7" t="s">
        <v>563</v>
      </c>
      <c r="H140" s="7" t="s">
        <v>564</v>
      </c>
    </row>
    <row r="141" spans="1:8" x14ac:dyDescent="0.3">
      <c r="A141" s="5" t="s">
        <v>580</v>
      </c>
      <c r="B141" s="5">
        <v>9</v>
      </c>
      <c r="C141" s="5">
        <v>4</v>
      </c>
      <c r="D141" s="5">
        <v>1</v>
      </c>
      <c r="E141" s="5">
        <v>0</v>
      </c>
      <c r="F141" s="5">
        <v>2</v>
      </c>
      <c r="G141" s="5">
        <v>1</v>
      </c>
      <c r="H141" s="5">
        <v>8</v>
      </c>
    </row>
    <row r="142" spans="1:8" x14ac:dyDescent="0.3">
      <c r="A142" s="5" t="s">
        <v>569</v>
      </c>
      <c r="B142" s="5">
        <v>3</v>
      </c>
      <c r="C142" s="5">
        <v>0</v>
      </c>
      <c r="D142" s="5">
        <v>3</v>
      </c>
      <c r="E142" s="5">
        <v>6</v>
      </c>
      <c r="F142" s="5">
        <v>1</v>
      </c>
      <c r="G142" s="5">
        <v>1</v>
      </c>
      <c r="H142" s="5">
        <v>2</v>
      </c>
    </row>
    <row r="143" spans="1:8" x14ac:dyDescent="0.3">
      <c r="A143" s="5" t="s">
        <v>570</v>
      </c>
      <c r="B143" s="5">
        <v>1</v>
      </c>
      <c r="C143" s="5">
        <v>4</v>
      </c>
      <c r="D143" s="5">
        <v>1</v>
      </c>
      <c r="E143" s="5">
        <v>1</v>
      </c>
      <c r="F143" s="5">
        <v>1</v>
      </c>
      <c r="G143" s="5">
        <v>2</v>
      </c>
      <c r="H143" s="5">
        <v>3</v>
      </c>
    </row>
    <row r="144" spans="1:8" x14ac:dyDescent="0.3">
      <c r="A144" s="5" t="s">
        <v>571</v>
      </c>
      <c r="B144" s="5">
        <v>4</v>
      </c>
      <c r="C144" s="5">
        <v>1</v>
      </c>
      <c r="D144" s="5">
        <v>2</v>
      </c>
      <c r="E144" s="5">
        <v>5</v>
      </c>
      <c r="F144" s="5">
        <v>4</v>
      </c>
      <c r="G144" s="5">
        <v>4</v>
      </c>
      <c r="H144" s="5">
        <v>5</v>
      </c>
    </row>
    <row r="145" spans="1:8" x14ac:dyDescent="0.3">
      <c r="A145" s="5" t="s">
        <v>572</v>
      </c>
      <c r="B145" s="5">
        <v>5</v>
      </c>
      <c r="C145" s="5">
        <v>1</v>
      </c>
      <c r="D145" s="5">
        <v>6</v>
      </c>
      <c r="E145" s="5">
        <v>2</v>
      </c>
      <c r="F145" s="5">
        <v>3</v>
      </c>
      <c r="G145" s="5">
        <v>5</v>
      </c>
      <c r="H145" s="5">
        <v>2</v>
      </c>
    </row>
    <row r="146" spans="1:8" x14ac:dyDescent="0.3">
      <c r="A146" s="5" t="s">
        <v>573</v>
      </c>
      <c r="B146" s="5">
        <v>2</v>
      </c>
      <c r="C146" s="5">
        <v>3</v>
      </c>
      <c r="D146" s="5">
        <v>0</v>
      </c>
      <c r="E146" s="5">
        <v>4</v>
      </c>
      <c r="F146" s="5">
        <v>0</v>
      </c>
      <c r="G146" s="5">
        <v>3</v>
      </c>
      <c r="H146" s="5">
        <v>3</v>
      </c>
    </row>
    <row r="147" spans="1:8" x14ac:dyDescent="0.3">
      <c r="A147" s="5" t="s">
        <v>574</v>
      </c>
      <c r="B147" s="5">
        <v>3</v>
      </c>
      <c r="C147" s="5">
        <v>3</v>
      </c>
      <c r="D147" s="5">
        <v>2</v>
      </c>
      <c r="E147" s="5">
        <v>1</v>
      </c>
      <c r="F147" s="5">
        <v>4</v>
      </c>
      <c r="G147" s="5">
        <v>2</v>
      </c>
      <c r="H147" s="5">
        <v>3</v>
      </c>
    </row>
    <row r="148" spans="1:8" x14ac:dyDescent="0.3">
      <c r="A148" s="5" t="s">
        <v>575</v>
      </c>
      <c r="B148" s="5">
        <v>3</v>
      </c>
      <c r="C148" s="5">
        <v>1</v>
      </c>
      <c r="D148" s="5">
        <v>2</v>
      </c>
      <c r="E148" s="5">
        <v>5</v>
      </c>
      <c r="F148" s="5">
        <v>3</v>
      </c>
      <c r="G148" s="5">
        <v>5</v>
      </c>
      <c r="H148" s="5">
        <v>5</v>
      </c>
    </row>
    <row r="149" spans="1:8" x14ac:dyDescent="0.3">
      <c r="A149" s="5" t="s">
        <v>576</v>
      </c>
      <c r="B149" s="5">
        <v>3</v>
      </c>
      <c r="C149" s="5">
        <v>3</v>
      </c>
      <c r="D149" s="5">
        <v>3</v>
      </c>
      <c r="E149" s="5">
        <v>1</v>
      </c>
      <c r="F149" s="5">
        <v>1</v>
      </c>
      <c r="G149" s="5">
        <v>5</v>
      </c>
      <c r="H149" s="5">
        <v>0</v>
      </c>
    </row>
    <row r="150" spans="1:8" x14ac:dyDescent="0.3">
      <c r="A150" s="5" t="s">
        <v>577</v>
      </c>
      <c r="B150" s="5">
        <v>5</v>
      </c>
      <c r="C150" s="5">
        <v>3</v>
      </c>
      <c r="D150" s="5">
        <v>2</v>
      </c>
      <c r="E150" s="5">
        <v>3</v>
      </c>
      <c r="F150" s="5">
        <v>1</v>
      </c>
      <c r="G150" s="5">
        <v>1</v>
      </c>
      <c r="H150" s="5">
        <v>5</v>
      </c>
    </row>
    <row r="151" spans="1:8" x14ac:dyDescent="0.3">
      <c r="A151" s="5" t="s">
        <v>578</v>
      </c>
      <c r="B151" s="5">
        <v>2</v>
      </c>
      <c r="C151" s="5">
        <v>4</v>
      </c>
      <c r="D151" s="5">
        <v>1</v>
      </c>
      <c r="E151" s="5">
        <v>1</v>
      </c>
      <c r="F151" s="5">
        <v>1</v>
      </c>
      <c r="G151" s="5">
        <v>3</v>
      </c>
      <c r="H151" s="5">
        <v>3</v>
      </c>
    </row>
    <row r="152" spans="1:8" x14ac:dyDescent="0.3">
      <c r="A152" s="5" t="s">
        <v>579</v>
      </c>
      <c r="B152" s="5">
        <v>3</v>
      </c>
      <c r="C152" s="5">
        <v>0</v>
      </c>
      <c r="D152" s="5">
        <v>0</v>
      </c>
      <c r="E152" s="5">
        <v>4</v>
      </c>
      <c r="F152" s="5">
        <v>1</v>
      </c>
      <c r="G152" s="5">
        <v>4</v>
      </c>
      <c r="H152" s="5">
        <v>2</v>
      </c>
    </row>
  </sheetData>
  <sortState xmlns:xlrd2="http://schemas.microsoft.com/office/spreadsheetml/2017/richdata2" ref="A64:H67">
    <sortCondition descending="1" ref="D64:D67"/>
  </sortState>
  <mergeCells count="13">
    <mergeCell ref="A1:F1"/>
    <mergeCell ref="A70:H70"/>
    <mergeCell ref="A72:C72"/>
    <mergeCell ref="A87:B87"/>
    <mergeCell ref="H87:I87"/>
    <mergeCell ref="H3:K3"/>
    <mergeCell ref="B19:F19"/>
    <mergeCell ref="A18:F18"/>
    <mergeCell ref="A121:C121"/>
    <mergeCell ref="A139:H139"/>
    <mergeCell ref="A4:F4"/>
    <mergeCell ref="A40:H40"/>
    <mergeCell ref="A16:F16"/>
  </mergeCells>
  <conditionalFormatting sqref="A140:H152">
    <cfRule type="colorScale" priority="3">
      <colorScale>
        <cfvo type="min"/>
        <cfvo type="max"/>
        <color rgb="FFFF7128"/>
        <color rgb="FF00B050"/>
      </colorScale>
    </cfRule>
  </conditionalFormatting>
  <conditionalFormatting sqref="B43:B52">
    <cfRule type="colorScale" priority="30">
      <colorScale>
        <cfvo type="min"/>
        <cfvo type="max"/>
        <color rgb="FFFCFCFF"/>
        <color rgb="FFF8696B"/>
      </colorScale>
    </cfRule>
  </conditionalFormatting>
  <conditionalFormatting sqref="B57:B60">
    <cfRule type="colorScale" priority="22">
      <colorScale>
        <cfvo type="min"/>
        <cfvo type="max"/>
        <color rgb="FFFCFCFF"/>
        <color rgb="FFF8696B"/>
      </colorScale>
    </cfRule>
  </conditionalFormatting>
  <conditionalFormatting sqref="B64:B67">
    <cfRule type="colorScale" priority="15">
      <colorScale>
        <cfvo type="min"/>
        <cfvo type="max"/>
        <color rgb="FFFCFCFF"/>
        <color rgb="FFF8696B"/>
      </colorScale>
    </cfRule>
  </conditionalFormatting>
  <conditionalFormatting sqref="B135">
    <cfRule type="colorScale" priority="6">
      <colorScale>
        <cfvo type="min"/>
        <cfvo type="max"/>
        <color rgb="FFFCFCFF"/>
        <color rgb="FFF8696B"/>
      </colorScale>
    </cfRule>
  </conditionalFormatting>
  <conditionalFormatting sqref="B21:F34">
    <cfRule type="colorScale" priority="8">
      <colorScale>
        <cfvo type="min"/>
        <cfvo type="percentile" val="50"/>
        <cfvo type="max"/>
        <color rgb="FF63BE7B"/>
        <color rgb="FFFCFCFF"/>
        <color rgb="FFF8696B"/>
      </colorScale>
    </cfRule>
  </conditionalFormatting>
  <conditionalFormatting sqref="B141:H152">
    <cfRule type="colorScale" priority="1">
      <colorScale>
        <cfvo type="min"/>
        <cfvo type="max"/>
        <color theme="0"/>
        <color rgb="FFFF0000"/>
      </colorScale>
    </cfRule>
    <cfRule type="colorScale" priority="2">
      <colorScale>
        <cfvo type="min"/>
        <cfvo type="max"/>
        <color rgb="FFFF0000"/>
        <color theme="0"/>
      </colorScale>
    </cfRule>
  </conditionalFormatting>
  <conditionalFormatting sqref="C43:C52">
    <cfRule type="colorScale" priority="29">
      <colorScale>
        <cfvo type="min"/>
        <cfvo type="max"/>
        <color rgb="FFFCFCFF"/>
        <color rgb="FFF8696B"/>
      </colorScale>
    </cfRule>
  </conditionalFormatting>
  <conditionalFormatting sqref="C57:C60">
    <cfRule type="colorScale" priority="21">
      <colorScale>
        <cfvo type="min"/>
        <cfvo type="max"/>
        <color rgb="FFFCFCFF"/>
        <color rgb="FFF8696B"/>
      </colorScale>
    </cfRule>
  </conditionalFormatting>
  <conditionalFormatting sqref="C64:C67">
    <cfRule type="colorScale" priority="14">
      <colorScale>
        <cfvo type="min"/>
        <cfvo type="max"/>
        <color rgb="FFFCFCFF"/>
        <color rgb="FFF8696B"/>
      </colorScale>
    </cfRule>
  </conditionalFormatting>
  <conditionalFormatting sqref="C74:C80">
    <cfRule type="colorScale" priority="7">
      <colorScale>
        <cfvo type="min"/>
        <cfvo type="percentile" val="50"/>
        <cfvo type="max"/>
        <color rgb="FF63BE7B"/>
        <color rgb="FFFCFCFF"/>
        <color rgb="FFF8696B"/>
      </colorScale>
    </cfRule>
  </conditionalFormatting>
  <conditionalFormatting sqref="C123:C134">
    <cfRule type="colorScale" priority="4">
      <colorScale>
        <cfvo type="min"/>
        <cfvo type="max"/>
        <color rgb="FFFCFCFF"/>
        <color rgb="FFF8696B"/>
      </colorScale>
    </cfRule>
  </conditionalFormatting>
  <conditionalFormatting sqref="D43:D52">
    <cfRule type="colorScale" priority="28">
      <colorScale>
        <cfvo type="min"/>
        <cfvo type="max"/>
        <color rgb="FFFCFCFF"/>
        <color rgb="FFF8696B"/>
      </colorScale>
    </cfRule>
  </conditionalFormatting>
  <conditionalFormatting sqref="D57:D60">
    <cfRule type="colorScale" priority="20">
      <colorScale>
        <cfvo type="min"/>
        <cfvo type="max"/>
        <color rgb="FFFCFCFF"/>
        <color rgb="FFF8696B"/>
      </colorScale>
    </cfRule>
  </conditionalFormatting>
  <conditionalFormatting sqref="D64:D67">
    <cfRule type="colorScale" priority="13">
      <colorScale>
        <cfvo type="min"/>
        <cfvo type="max"/>
        <color rgb="FFFCFCFF"/>
        <color rgb="FFF8696B"/>
      </colorScale>
    </cfRule>
  </conditionalFormatting>
  <conditionalFormatting sqref="E43:E52">
    <cfRule type="colorScale" priority="26">
      <colorScale>
        <cfvo type="min"/>
        <cfvo type="max"/>
        <color rgb="FFFCFCFF"/>
        <color rgb="FFF8696B"/>
      </colorScale>
    </cfRule>
  </conditionalFormatting>
  <conditionalFormatting sqref="E57:E60">
    <cfRule type="colorScale" priority="19">
      <colorScale>
        <cfvo type="min"/>
        <cfvo type="max"/>
        <color rgb="FFFCFCFF"/>
        <color rgb="FFF8696B"/>
      </colorScale>
    </cfRule>
  </conditionalFormatting>
  <conditionalFormatting sqref="E64:E67">
    <cfRule type="colorScale" priority="12">
      <colorScale>
        <cfvo type="min"/>
        <cfvo type="max"/>
        <color rgb="FFFCFCFF"/>
        <color rgb="FFF8696B"/>
      </colorScale>
    </cfRule>
  </conditionalFormatting>
  <conditionalFormatting sqref="E43:F52">
    <cfRule type="colorScale" priority="27">
      <colorScale>
        <cfvo type="min"/>
        <cfvo type="max"/>
        <color rgb="FFFCFCFF"/>
        <color rgb="FFF8696B"/>
      </colorScale>
    </cfRule>
  </conditionalFormatting>
  <conditionalFormatting sqref="F43:F52">
    <cfRule type="colorScale" priority="25">
      <colorScale>
        <cfvo type="min"/>
        <cfvo type="max"/>
        <color rgb="FFFCFCFF"/>
        <color rgb="FFF8696B"/>
      </colorScale>
    </cfRule>
  </conditionalFormatting>
  <conditionalFormatting sqref="F57:F60">
    <cfRule type="colorScale" priority="18">
      <colorScale>
        <cfvo type="min"/>
        <cfvo type="max"/>
        <color rgb="FFFCFCFF"/>
        <color rgb="FFF8696B"/>
      </colorScale>
    </cfRule>
  </conditionalFormatting>
  <conditionalFormatting sqref="F64:F67">
    <cfRule type="colorScale" priority="11">
      <colorScale>
        <cfvo type="min"/>
        <cfvo type="max"/>
        <color rgb="FFFCFCFF"/>
        <color rgb="FFF8696B"/>
      </colorScale>
    </cfRule>
  </conditionalFormatting>
  <conditionalFormatting sqref="G43:G52">
    <cfRule type="colorScale" priority="24">
      <colorScale>
        <cfvo type="min"/>
        <cfvo type="max"/>
        <color rgb="FFFCFCFF"/>
        <color rgb="FFF8696B"/>
      </colorScale>
    </cfRule>
  </conditionalFormatting>
  <conditionalFormatting sqref="G57:G60">
    <cfRule type="colorScale" priority="17">
      <colorScale>
        <cfvo type="min"/>
        <cfvo type="max"/>
        <color rgb="FFFCFCFF"/>
        <color rgb="FFF8696B"/>
      </colorScale>
    </cfRule>
  </conditionalFormatting>
  <conditionalFormatting sqref="G64:G67">
    <cfRule type="colorScale" priority="10">
      <colorScale>
        <cfvo type="min"/>
        <cfvo type="max"/>
        <color rgb="FFFCFCFF"/>
        <color rgb="FFF8696B"/>
      </colorScale>
    </cfRule>
  </conditionalFormatting>
  <conditionalFormatting sqref="H43:H52">
    <cfRule type="colorScale" priority="23">
      <colorScale>
        <cfvo type="min"/>
        <cfvo type="max"/>
        <color rgb="FFFCFCFF"/>
        <color rgb="FFF8696B"/>
      </colorScale>
    </cfRule>
  </conditionalFormatting>
  <conditionalFormatting sqref="H57:H60">
    <cfRule type="colorScale" priority="16">
      <colorScale>
        <cfvo type="min"/>
        <cfvo type="max"/>
        <color rgb="FFFCFCFF"/>
        <color rgb="FFF8696B"/>
      </colorScale>
    </cfRule>
  </conditionalFormatting>
  <conditionalFormatting sqref="H64:H67">
    <cfRule type="colorScale" priority="9">
      <colorScale>
        <cfvo type="min"/>
        <cfvo type="max"/>
        <color rgb="FFFCFCFF"/>
        <color rgb="FFF8696B"/>
      </colorScale>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BD53C-FBD7-4BE6-B6CB-C2702BE684C8}">
  <dimension ref="A2:H13"/>
  <sheetViews>
    <sheetView zoomScale="55" workbookViewId="0">
      <selection activeCell="E13" sqref="E13"/>
    </sheetView>
  </sheetViews>
  <sheetFormatPr defaultRowHeight="14.4" x14ac:dyDescent="0.3"/>
  <cols>
    <col min="1" max="1" width="26.44140625" customWidth="1"/>
    <col min="2" max="2" width="25.21875" customWidth="1"/>
    <col min="3" max="3" width="33.6640625" customWidth="1"/>
    <col min="4" max="4" width="16.44140625" bestFit="1" customWidth="1"/>
    <col min="5" max="5" width="27.33203125" customWidth="1"/>
    <col min="6" max="6" width="37.77734375" customWidth="1"/>
    <col min="7" max="7" width="23.5546875" customWidth="1"/>
    <col min="8" max="8" width="34.21875" customWidth="1"/>
  </cols>
  <sheetData>
    <row r="2" spans="1:8" x14ac:dyDescent="0.3">
      <c r="A2" s="63" t="s">
        <v>611</v>
      </c>
      <c r="B2" s="63"/>
      <c r="C2" s="63"/>
      <c r="D2" s="63"/>
      <c r="E2" s="63"/>
      <c r="F2" s="63"/>
      <c r="G2" s="63"/>
      <c r="H2" s="63"/>
    </row>
    <row r="3" spans="1:8" x14ac:dyDescent="0.3">
      <c r="A3" s="17" t="s">
        <v>522</v>
      </c>
      <c r="B3" s="17" t="s">
        <v>592</v>
      </c>
      <c r="C3" s="17" t="s">
        <v>593</v>
      </c>
      <c r="D3" s="17" t="s">
        <v>594</v>
      </c>
      <c r="E3" s="7" t="s">
        <v>612</v>
      </c>
      <c r="F3" s="7" t="s">
        <v>613</v>
      </c>
      <c r="G3" s="7" t="s">
        <v>595</v>
      </c>
      <c r="H3" s="7" t="s">
        <v>596</v>
      </c>
    </row>
    <row r="4" spans="1:8" ht="115.2" x14ac:dyDescent="0.3">
      <c r="A4" s="23" t="s">
        <v>52</v>
      </c>
      <c r="B4" s="23" t="s">
        <v>597</v>
      </c>
      <c r="C4" s="23" t="s">
        <v>598</v>
      </c>
      <c r="D4" s="19" t="s">
        <v>599</v>
      </c>
      <c r="E4" s="23" t="s">
        <v>614</v>
      </c>
      <c r="F4" s="23" t="s">
        <v>615</v>
      </c>
      <c r="G4" s="22" t="s">
        <v>600</v>
      </c>
      <c r="H4" s="22" t="s">
        <v>601</v>
      </c>
    </row>
    <row r="5" spans="1:8" ht="115.2" x14ac:dyDescent="0.3">
      <c r="A5" s="23" t="s">
        <v>602</v>
      </c>
      <c r="B5" s="23" t="s">
        <v>603</v>
      </c>
      <c r="C5" s="23" t="s">
        <v>604</v>
      </c>
      <c r="D5" s="19" t="s">
        <v>599</v>
      </c>
      <c r="E5" s="23" t="s">
        <v>616</v>
      </c>
      <c r="F5" s="23" t="s">
        <v>617</v>
      </c>
      <c r="G5" s="22" t="s">
        <v>605</v>
      </c>
      <c r="H5" s="22" t="s">
        <v>606</v>
      </c>
    </row>
    <row r="6" spans="1:8" ht="129.6" x14ac:dyDescent="0.3">
      <c r="A6" s="23" t="s">
        <v>23</v>
      </c>
      <c r="B6" s="23" t="s">
        <v>607</v>
      </c>
      <c r="C6" s="23" t="s">
        <v>608</v>
      </c>
      <c r="D6" s="19" t="s">
        <v>599</v>
      </c>
      <c r="E6" s="23" t="s">
        <v>618</v>
      </c>
      <c r="F6" s="23" t="s">
        <v>619</v>
      </c>
      <c r="G6" s="22" t="s">
        <v>609</v>
      </c>
      <c r="H6" s="22" t="s">
        <v>610</v>
      </c>
    </row>
    <row r="7" spans="1:8" x14ac:dyDescent="0.3">
      <c r="A7" s="21"/>
    </row>
    <row r="8" spans="1:8" x14ac:dyDescent="0.3">
      <c r="A8" s="21"/>
    </row>
    <row r="9" spans="1:8" x14ac:dyDescent="0.3">
      <c r="A9" s="21"/>
    </row>
    <row r="10" spans="1:8" x14ac:dyDescent="0.3">
      <c r="A10" s="21"/>
    </row>
    <row r="11" spans="1:8" x14ac:dyDescent="0.3">
      <c r="A11" s="21"/>
    </row>
    <row r="12" spans="1:8" x14ac:dyDescent="0.3">
      <c r="A12" s="21"/>
    </row>
    <row r="13" spans="1:8" x14ac:dyDescent="0.3">
      <c r="A13" s="21"/>
    </row>
  </sheetData>
  <mergeCells count="1">
    <mergeCell ref="A2:H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49BB6-9872-43D6-8608-69A74F2BE5F9}">
  <dimension ref="B1:V24"/>
  <sheetViews>
    <sheetView zoomScale="68" zoomScaleNormal="100" workbookViewId="0">
      <selection activeCell="T18" sqref="T18"/>
    </sheetView>
  </sheetViews>
  <sheetFormatPr defaultRowHeight="14.4" x14ac:dyDescent="0.3"/>
  <cols>
    <col min="4" max="4" width="22.33203125" bestFit="1" customWidth="1"/>
    <col min="6" max="6" width="43.44140625" bestFit="1" customWidth="1"/>
    <col min="7" max="7" width="22.6640625" bestFit="1" customWidth="1"/>
    <col min="8" max="8" width="33.33203125" bestFit="1" customWidth="1"/>
    <col min="15" max="15" width="14.5546875" bestFit="1" customWidth="1"/>
    <col min="16" max="16" width="17.44140625" bestFit="1" customWidth="1"/>
    <col min="17" max="17" width="10.44140625" bestFit="1" customWidth="1"/>
    <col min="19" max="19" width="40.88671875" bestFit="1" customWidth="1"/>
    <col min="20" max="20" width="72.77734375" bestFit="1" customWidth="1"/>
    <col min="21" max="21" width="32" bestFit="1" customWidth="1"/>
    <col min="22" max="22" width="11.44140625" bestFit="1" customWidth="1"/>
  </cols>
  <sheetData>
    <row r="1" spans="2:22" ht="18" x14ac:dyDescent="0.35">
      <c r="O1" s="8"/>
      <c r="P1" s="8"/>
      <c r="Q1" s="8"/>
      <c r="R1" s="8"/>
      <c r="S1" s="8"/>
      <c r="T1" s="8"/>
      <c r="U1" s="8"/>
      <c r="V1" s="8"/>
    </row>
    <row r="2" spans="2:22" x14ac:dyDescent="0.3">
      <c r="B2" t="s">
        <v>621</v>
      </c>
      <c r="D2" t="s">
        <v>622</v>
      </c>
      <c r="F2" t="s">
        <v>626</v>
      </c>
      <c r="G2" t="s">
        <v>627</v>
      </c>
      <c r="H2" t="s">
        <v>629</v>
      </c>
      <c r="I2" t="s">
        <v>630</v>
      </c>
    </row>
    <row r="3" spans="2:22" x14ac:dyDescent="0.3">
      <c r="B3" t="s">
        <v>507</v>
      </c>
      <c r="M3" t="s">
        <v>662</v>
      </c>
      <c r="T3" t="s">
        <v>651</v>
      </c>
      <c r="U3" t="s">
        <v>652</v>
      </c>
    </row>
    <row r="4" spans="2:22" x14ac:dyDescent="0.3">
      <c r="D4" t="s">
        <v>623</v>
      </c>
      <c r="O4" t="s">
        <v>622</v>
      </c>
      <c r="P4" t="s">
        <v>649</v>
      </c>
      <c r="Q4" t="s">
        <v>623</v>
      </c>
      <c r="R4" t="s">
        <v>625</v>
      </c>
    </row>
    <row r="6" spans="2:22" x14ac:dyDescent="0.3">
      <c r="D6" t="s">
        <v>624</v>
      </c>
    </row>
    <row r="8" spans="2:22" x14ac:dyDescent="0.3">
      <c r="D8" t="s">
        <v>628</v>
      </c>
      <c r="F8" t="s">
        <v>631</v>
      </c>
      <c r="S8" t="s">
        <v>650</v>
      </c>
      <c r="T8" t="s">
        <v>653</v>
      </c>
    </row>
    <row r="9" spans="2:22" ht="28.8" x14ac:dyDescent="0.3">
      <c r="F9" t="s">
        <v>633</v>
      </c>
      <c r="S9" t="s">
        <v>654</v>
      </c>
      <c r="T9" s="21" t="s">
        <v>655</v>
      </c>
    </row>
    <row r="10" spans="2:22" x14ac:dyDescent="0.3">
      <c r="F10" t="s">
        <v>632</v>
      </c>
    </row>
    <row r="11" spans="2:22" x14ac:dyDescent="0.3">
      <c r="F11" t="s">
        <v>634</v>
      </c>
    </row>
    <row r="12" spans="2:22" x14ac:dyDescent="0.3">
      <c r="F12" t="s">
        <v>635</v>
      </c>
      <c r="G12" t="s">
        <v>636</v>
      </c>
    </row>
    <row r="13" spans="2:22" x14ac:dyDescent="0.3">
      <c r="G13" t="s">
        <v>637</v>
      </c>
    </row>
    <row r="14" spans="2:22" ht="43.2" x14ac:dyDescent="0.3">
      <c r="G14" t="s">
        <v>638</v>
      </c>
      <c r="S14" s="21" t="s">
        <v>657</v>
      </c>
      <c r="T14" s="21" t="s">
        <v>656</v>
      </c>
    </row>
    <row r="16" spans="2:22" x14ac:dyDescent="0.3">
      <c r="G16" s="38" t="s">
        <v>639</v>
      </c>
    </row>
    <row r="17" spans="7:20" x14ac:dyDescent="0.3">
      <c r="G17" s="32"/>
      <c r="R17" t="s">
        <v>658</v>
      </c>
      <c r="S17" t="s">
        <v>659</v>
      </c>
      <c r="T17" t="s">
        <v>661</v>
      </c>
    </row>
    <row r="18" spans="7:20" x14ac:dyDescent="0.3">
      <c r="G18" s="38" t="s">
        <v>640</v>
      </c>
      <c r="S18" t="s">
        <v>660</v>
      </c>
      <c r="T18" t="s">
        <v>661</v>
      </c>
    </row>
    <row r="20" spans="7:20" x14ac:dyDescent="0.3">
      <c r="G20" s="4" t="s">
        <v>641</v>
      </c>
    </row>
    <row r="21" spans="7:20" x14ac:dyDescent="0.3">
      <c r="G21" s="32"/>
    </row>
    <row r="22" spans="7:20" x14ac:dyDescent="0.3">
      <c r="G22" s="32" t="s">
        <v>642</v>
      </c>
    </row>
    <row r="23" spans="7:20" x14ac:dyDescent="0.3">
      <c r="G23" s="32"/>
    </row>
    <row r="24" spans="7:20" x14ac:dyDescent="0.3">
      <c r="G24" s="32" t="s">
        <v>643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AB9C3-9450-4B89-AA71-A0B201BCFAA0}">
  <dimension ref="BQ1:CA23"/>
  <sheetViews>
    <sheetView tabSelected="1" zoomScale="12" zoomScaleNormal="40" workbookViewId="0">
      <selection activeCell="AG179" sqref="AG179"/>
    </sheetView>
  </sheetViews>
  <sheetFormatPr defaultRowHeight="14.4" x14ac:dyDescent="0.3"/>
  <cols>
    <col min="69" max="69" width="27.109375" bestFit="1" customWidth="1"/>
    <col min="70" max="70" width="24" bestFit="1" customWidth="1"/>
    <col min="71" max="71" width="50.88671875" bestFit="1" customWidth="1"/>
    <col min="72" max="72" width="37.77734375" bestFit="1" customWidth="1"/>
    <col min="74" max="74" width="17.6640625" customWidth="1"/>
    <col min="75" max="75" width="83.33203125" customWidth="1"/>
    <col min="78" max="78" width="17.5546875" customWidth="1"/>
    <col min="79" max="79" width="92.33203125" customWidth="1"/>
  </cols>
  <sheetData>
    <row r="1" spans="69:79" ht="21" x14ac:dyDescent="0.4">
      <c r="BQ1" s="75" t="s">
        <v>738</v>
      </c>
      <c r="BR1" s="75" t="s">
        <v>658</v>
      </c>
      <c r="BS1" s="75" t="s">
        <v>682</v>
      </c>
      <c r="BT1" s="75" t="s">
        <v>683</v>
      </c>
      <c r="BV1" s="76" t="s">
        <v>739</v>
      </c>
      <c r="BW1" s="76" t="s">
        <v>740</v>
      </c>
      <c r="BZ1" s="76" t="s">
        <v>739</v>
      </c>
      <c r="CA1" s="76" t="s">
        <v>751</v>
      </c>
    </row>
    <row r="2" spans="69:79" ht="100.8" customHeight="1" x14ac:dyDescent="0.3">
      <c r="BQ2" s="73" t="s">
        <v>709</v>
      </c>
      <c r="BR2" s="67" t="s">
        <v>681</v>
      </c>
      <c r="BS2" s="68" t="s">
        <v>684</v>
      </c>
      <c r="BT2" s="22" t="s">
        <v>693</v>
      </c>
      <c r="BV2" s="74" t="s">
        <v>741</v>
      </c>
      <c r="BW2" s="70" t="s">
        <v>746</v>
      </c>
      <c r="BZ2" s="73" t="s">
        <v>752</v>
      </c>
      <c r="CA2" s="70" t="s">
        <v>753</v>
      </c>
    </row>
    <row r="3" spans="69:79" ht="57.6" customHeight="1" x14ac:dyDescent="0.3">
      <c r="BQ3" s="73"/>
      <c r="BR3" s="69" t="s">
        <v>685</v>
      </c>
      <c r="BS3" s="68" t="s">
        <v>686</v>
      </c>
      <c r="BT3" s="22" t="s">
        <v>694</v>
      </c>
      <c r="BV3" s="74" t="s">
        <v>742</v>
      </c>
      <c r="BW3" s="70" t="s">
        <v>747</v>
      </c>
      <c r="BZ3" s="73"/>
      <c r="CA3" s="70" t="s">
        <v>754</v>
      </c>
    </row>
    <row r="4" spans="69:79" ht="28.8" x14ac:dyDescent="0.3">
      <c r="BQ4" s="73"/>
      <c r="BR4" s="69" t="s">
        <v>687</v>
      </c>
      <c r="BS4" s="67" t="s">
        <v>688</v>
      </c>
      <c r="BT4" s="22" t="s">
        <v>695</v>
      </c>
      <c r="BV4" s="74" t="s">
        <v>743</v>
      </c>
      <c r="BW4" s="70" t="s">
        <v>748</v>
      </c>
      <c r="BZ4" s="73"/>
      <c r="CA4" s="70" t="s">
        <v>755</v>
      </c>
    </row>
    <row r="5" spans="69:79" ht="43.2" x14ac:dyDescent="0.3">
      <c r="BQ5" s="73"/>
      <c r="BR5" s="69" t="s">
        <v>689</v>
      </c>
      <c r="BS5" s="69" t="s">
        <v>690</v>
      </c>
      <c r="BT5" s="22" t="s">
        <v>696</v>
      </c>
      <c r="BV5" s="74" t="s">
        <v>744</v>
      </c>
      <c r="BW5" s="70" t="s">
        <v>750</v>
      </c>
      <c r="BZ5" s="73" t="s">
        <v>756</v>
      </c>
      <c r="CA5" s="70" t="s">
        <v>757</v>
      </c>
    </row>
    <row r="6" spans="69:79" ht="43.2" x14ac:dyDescent="0.3">
      <c r="BQ6" s="73"/>
      <c r="BR6" s="69" t="s">
        <v>691</v>
      </c>
      <c r="BS6" s="69" t="s">
        <v>692</v>
      </c>
      <c r="BT6" s="22" t="s">
        <v>697</v>
      </c>
      <c r="BV6" s="74" t="s">
        <v>745</v>
      </c>
      <c r="BW6" s="70" t="s">
        <v>749</v>
      </c>
      <c r="BZ6" s="73"/>
      <c r="CA6" s="70" t="s">
        <v>758</v>
      </c>
    </row>
    <row r="7" spans="69:79" ht="28.8" customHeight="1" x14ac:dyDescent="0.3">
      <c r="BQ7" s="72"/>
      <c r="BR7" s="71"/>
      <c r="BS7" s="71"/>
      <c r="BT7" s="71"/>
      <c r="BZ7" s="73"/>
      <c r="CA7" s="70" t="s">
        <v>759</v>
      </c>
    </row>
    <row r="8" spans="69:79" ht="43.2" x14ac:dyDescent="0.3">
      <c r="BQ8" s="73" t="s">
        <v>710</v>
      </c>
      <c r="BR8" s="70" t="s">
        <v>698</v>
      </c>
      <c r="BS8" s="70" t="s">
        <v>699</v>
      </c>
      <c r="BT8" s="70" t="s">
        <v>700</v>
      </c>
      <c r="BZ8" s="73"/>
      <c r="CA8" s="70" t="s">
        <v>760</v>
      </c>
    </row>
    <row r="9" spans="69:79" ht="28.8" x14ac:dyDescent="0.3">
      <c r="BQ9" s="73"/>
      <c r="BR9" s="70" t="s">
        <v>701</v>
      </c>
      <c r="BS9" s="70" t="s">
        <v>702</v>
      </c>
      <c r="BT9" s="70" t="s">
        <v>703</v>
      </c>
      <c r="BZ9" s="73"/>
      <c r="CA9" s="70" t="s">
        <v>761</v>
      </c>
    </row>
    <row r="10" spans="69:79" ht="28.8" x14ac:dyDescent="0.3">
      <c r="BQ10" s="73"/>
      <c r="BR10" s="70" t="s">
        <v>704</v>
      </c>
      <c r="BS10" s="70" t="s">
        <v>705</v>
      </c>
      <c r="BT10" s="70" t="s">
        <v>706</v>
      </c>
    </row>
    <row r="11" spans="69:79" ht="28.8" x14ac:dyDescent="0.3">
      <c r="BQ11" s="73"/>
      <c r="BR11" s="70" t="s">
        <v>707</v>
      </c>
      <c r="BS11" s="70" t="s">
        <v>699</v>
      </c>
      <c r="BT11" s="70" t="s">
        <v>708</v>
      </c>
    </row>
    <row r="12" spans="69:79" x14ac:dyDescent="0.3">
      <c r="BQ12" s="72"/>
      <c r="BR12" s="71"/>
      <c r="BS12" s="71"/>
      <c r="BT12" s="71"/>
    </row>
    <row r="13" spans="69:79" ht="28.8" x14ac:dyDescent="0.3">
      <c r="BQ13" s="73" t="s">
        <v>722</v>
      </c>
      <c r="BR13" s="70" t="s">
        <v>711</v>
      </c>
      <c r="BS13" s="70" t="s">
        <v>712</v>
      </c>
      <c r="BT13" s="70" t="s">
        <v>713</v>
      </c>
    </row>
    <row r="14" spans="69:79" ht="28.8" x14ac:dyDescent="0.3">
      <c r="BQ14" s="73"/>
      <c r="BR14" s="70" t="s">
        <v>714</v>
      </c>
      <c r="BS14" s="70" t="s">
        <v>715</v>
      </c>
      <c r="BT14" s="70" t="s">
        <v>716</v>
      </c>
    </row>
    <row r="15" spans="69:79" ht="28.8" x14ac:dyDescent="0.3">
      <c r="BQ15" s="73"/>
      <c r="BR15" s="70" t="s">
        <v>717</v>
      </c>
      <c r="BS15" s="70" t="s">
        <v>718</v>
      </c>
      <c r="BT15" s="70" t="s">
        <v>719</v>
      </c>
    </row>
    <row r="16" spans="69:79" ht="28.8" x14ac:dyDescent="0.3">
      <c r="BQ16" s="73"/>
      <c r="BR16" s="70" t="s">
        <v>720</v>
      </c>
      <c r="BS16" s="70" t="s">
        <v>715</v>
      </c>
      <c r="BT16" s="70" t="s">
        <v>721</v>
      </c>
    </row>
    <row r="17" spans="69:72" x14ac:dyDescent="0.3">
      <c r="BQ17" s="72"/>
      <c r="BR17" s="71"/>
      <c r="BS17" s="71"/>
      <c r="BT17" s="71"/>
    </row>
    <row r="18" spans="69:72" ht="28.8" x14ac:dyDescent="0.3">
      <c r="BQ18" s="73" t="s">
        <v>735</v>
      </c>
      <c r="BR18" s="70" t="s">
        <v>723</v>
      </c>
      <c r="BS18" s="70" t="s">
        <v>724</v>
      </c>
      <c r="BT18" s="70" t="s">
        <v>725</v>
      </c>
    </row>
    <row r="19" spans="69:72" ht="28.8" x14ac:dyDescent="0.3">
      <c r="BQ19" s="73"/>
      <c r="BR19" s="70" t="s">
        <v>726</v>
      </c>
      <c r="BS19" s="70" t="s">
        <v>727</v>
      </c>
      <c r="BT19" s="70" t="s">
        <v>728</v>
      </c>
    </row>
    <row r="20" spans="69:72" ht="28.8" x14ac:dyDescent="0.3">
      <c r="BQ20" s="73"/>
      <c r="BR20" s="70" t="s">
        <v>729</v>
      </c>
      <c r="BS20" s="70" t="s">
        <v>730</v>
      </c>
      <c r="BT20" s="70" t="s">
        <v>731</v>
      </c>
    </row>
    <row r="21" spans="69:72" ht="28.8" x14ac:dyDescent="0.3">
      <c r="BQ21" s="73"/>
      <c r="BR21" s="70" t="s">
        <v>732</v>
      </c>
      <c r="BS21" s="70" t="s">
        <v>733</v>
      </c>
      <c r="BT21" s="70" t="s">
        <v>734</v>
      </c>
    </row>
    <row r="22" spans="69:72" x14ac:dyDescent="0.3">
      <c r="BQ22" s="72"/>
      <c r="BR22" s="71"/>
      <c r="BS22" s="71"/>
      <c r="BT22" s="71"/>
    </row>
    <row r="23" spans="69:72" ht="28.8" x14ac:dyDescent="0.3">
      <c r="BQ23" s="74" t="s">
        <v>736</v>
      </c>
      <c r="BR23" s="70" t="s">
        <v>736</v>
      </c>
      <c r="BS23" s="70" t="s">
        <v>733</v>
      </c>
      <c r="BT23" s="70" t="s">
        <v>737</v>
      </c>
    </row>
  </sheetData>
  <mergeCells count="6">
    <mergeCell ref="BQ2:BQ6"/>
    <mergeCell ref="BQ8:BQ11"/>
    <mergeCell ref="BQ13:BQ16"/>
    <mergeCell ref="BQ18:BQ21"/>
    <mergeCell ref="BZ5:BZ9"/>
    <mergeCell ref="BZ2:BZ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BASE</vt:lpstr>
      <vt:lpstr>Sheet4</vt:lpstr>
      <vt:lpstr>DATA_VAL_FORMULA</vt:lpstr>
      <vt:lpstr>DATA_VALIDATION </vt:lpstr>
      <vt:lpstr>TASK_1</vt:lpstr>
      <vt:lpstr>TASK_2.1</vt:lpstr>
      <vt:lpstr>TASK_2.2</vt:lpstr>
      <vt:lpstr>TASK_3.1</vt:lpstr>
      <vt:lpstr>Sheet14</vt:lpstr>
      <vt:lpstr>TASK_3.2AND3.3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yadav</dc:creator>
  <cp:lastModifiedBy>anjali yadav</cp:lastModifiedBy>
  <dcterms:created xsi:type="dcterms:W3CDTF">2025-09-25T18:37:29Z</dcterms:created>
  <dcterms:modified xsi:type="dcterms:W3CDTF">2025-09-29T21:21:34Z</dcterms:modified>
</cp:coreProperties>
</file>